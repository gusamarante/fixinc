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arante\PycharmProjects\fixinc\data\"/>
    </mc:Choice>
  </mc:AlternateContent>
  <xr:revisionPtr revIDLastSave="0" documentId="13_ncr:1_{B0A875FF-A11B-4F46-8D44-963BCBA2EC3E}" xr6:coauthVersionLast="47" xr6:coauthVersionMax="47" xr10:uidLastSave="{00000000-0000-0000-0000-000000000000}"/>
  <bookViews>
    <workbookView xWindow="-11250" yWindow="-21720" windowWidth="51840" windowHeight="21840" activeTab="2" xr2:uid="{E3066216-EEDE-4E02-9B0E-6E719DBBBA5F}"/>
  </bookViews>
  <sheets>
    <sheet name="BBG" sheetId="1" r:id="rId1"/>
    <sheet name="Feriados" sheetId="3" r:id="rId2"/>
    <sheet name="BBG Valores" sheetId="4" r:id="rId3"/>
  </sheets>
  <definedNames>
    <definedName name="_xlnm._FilterDatabase" localSheetId="1" hidden="1">Feriados!$A$1:$C$1274</definedName>
    <definedName name="SpreadsheetBuilder_1" localSheetId="2" hidden="1">'BBG Valores'!$A$1:$E$7</definedName>
    <definedName name="SpreadsheetBuilder_1" hidden="1">BBG!$A$1:$E$7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" l="1"/>
  <c r="Q7" i="1"/>
  <c r="P7" i="1"/>
  <c r="AD5" i="1" s="1"/>
  <c r="O7" i="1"/>
  <c r="AC5" i="1" s="1"/>
  <c r="AE5" i="1"/>
  <c r="AF5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8" i="1"/>
  <c r="F7" i="1" a="1"/>
  <c r="C6" i="1"/>
  <c r="B6" i="1"/>
  <c r="E6" i="1"/>
  <c r="D6" i="1"/>
  <c r="D7" i="1" a="1"/>
  <c r="C7" i="1" a="1"/>
  <c r="E7" i="1" a="1"/>
  <c r="A7" i="1" a="1"/>
  <c r="J54" i="4" l="1"/>
  <c r="N54" i="4" s="1"/>
  <c r="H53" i="4"/>
  <c r="J42" i="4"/>
  <c r="N42" i="4" s="1"/>
  <c r="H41" i="4"/>
  <c r="J30" i="4"/>
  <c r="H29" i="4"/>
  <c r="J18" i="4"/>
  <c r="H17" i="4"/>
  <c r="I54" i="4"/>
  <c r="M54" i="4" s="1"/>
  <c r="G53" i="4"/>
  <c r="W53" i="4" s="1"/>
  <c r="I42" i="4"/>
  <c r="G41" i="4"/>
  <c r="W41" i="4" s="1"/>
  <c r="I30" i="4"/>
  <c r="G29" i="4"/>
  <c r="G17" i="4"/>
  <c r="H13" i="4"/>
  <c r="J55" i="4"/>
  <c r="H54" i="4"/>
  <c r="J43" i="4"/>
  <c r="H42" i="4"/>
  <c r="L42" i="4" s="1"/>
  <c r="J31" i="4"/>
  <c r="H30" i="4"/>
  <c r="L30" i="4" s="1"/>
  <c r="T30" i="4" s="1"/>
  <c r="J19" i="4"/>
  <c r="H18" i="4"/>
  <c r="L18" i="4" s="1"/>
  <c r="T18" i="4" s="1"/>
  <c r="I55" i="4"/>
  <c r="G54" i="4"/>
  <c r="I43" i="4"/>
  <c r="G42" i="4"/>
  <c r="I31" i="4"/>
  <c r="M31" i="4" s="1"/>
  <c r="G30" i="4"/>
  <c r="W30" i="4" s="1"/>
  <c r="I19" i="4"/>
  <c r="M19" i="4" s="1"/>
  <c r="G18" i="4"/>
  <c r="J56" i="4"/>
  <c r="H55" i="4"/>
  <c r="L55" i="4" s="1"/>
  <c r="J44" i="4"/>
  <c r="H43" i="4"/>
  <c r="L43" i="4" s="1"/>
  <c r="J32" i="4"/>
  <c r="H31" i="4"/>
  <c r="L31" i="4" s="1"/>
  <c r="J20" i="4"/>
  <c r="H19" i="4"/>
  <c r="J8" i="4"/>
  <c r="H8" i="4"/>
  <c r="L8" i="4" s="1"/>
  <c r="I56" i="4"/>
  <c r="G55" i="4"/>
  <c r="I44" i="4"/>
  <c r="M44" i="4" s="1"/>
  <c r="G43" i="4"/>
  <c r="K43" i="4" s="1"/>
  <c r="I32" i="4"/>
  <c r="M32" i="4" s="1"/>
  <c r="G31" i="4"/>
  <c r="K31" i="4" s="1"/>
  <c r="I20" i="4"/>
  <c r="G19" i="4"/>
  <c r="I8" i="4"/>
  <c r="J21" i="4"/>
  <c r="N21" i="4" s="1"/>
  <c r="J9" i="4"/>
  <c r="X9" i="4" s="1"/>
  <c r="J37" i="4"/>
  <c r="H24" i="4"/>
  <c r="J57" i="4"/>
  <c r="H56" i="4"/>
  <c r="J45" i="4"/>
  <c r="H44" i="4"/>
  <c r="J33" i="4"/>
  <c r="H32" i="4"/>
  <c r="L32" i="4" s="1"/>
  <c r="H20" i="4"/>
  <c r="W20" i="4" s="1"/>
  <c r="I57" i="4"/>
  <c r="M57" i="4" s="1"/>
  <c r="G56" i="4"/>
  <c r="K56" i="4" s="1"/>
  <c r="K46" i="4"/>
  <c r="I45" i="4"/>
  <c r="M45" i="4" s="1"/>
  <c r="G44" i="4"/>
  <c r="K44" i="4" s="1"/>
  <c r="S44" i="4" s="1"/>
  <c r="I33" i="4"/>
  <c r="M33" i="4" s="1"/>
  <c r="G32" i="4"/>
  <c r="K32" i="4" s="1"/>
  <c r="I21" i="4"/>
  <c r="M21" i="4" s="1"/>
  <c r="U21" i="4" s="1"/>
  <c r="G20" i="4"/>
  <c r="K20" i="4" s="1"/>
  <c r="I9" i="4"/>
  <c r="M9" i="4" s="1"/>
  <c r="G8" i="4"/>
  <c r="J58" i="4"/>
  <c r="N58" i="4" s="1"/>
  <c r="H57" i="4"/>
  <c r="J46" i="4"/>
  <c r="N46" i="4" s="1"/>
  <c r="H45" i="4"/>
  <c r="J34" i="4"/>
  <c r="N34" i="4" s="1"/>
  <c r="H33" i="4"/>
  <c r="J22" i="4"/>
  <c r="H21" i="4"/>
  <c r="L21" i="4" s="1"/>
  <c r="J10" i="4"/>
  <c r="H9" i="4"/>
  <c r="I58" i="4"/>
  <c r="M58" i="4" s="1"/>
  <c r="G57" i="4"/>
  <c r="I46" i="4"/>
  <c r="M46" i="4" s="1"/>
  <c r="G45" i="4"/>
  <c r="K45" i="4" s="1"/>
  <c r="I34" i="4"/>
  <c r="M34" i="4" s="1"/>
  <c r="G33" i="4"/>
  <c r="I22" i="4"/>
  <c r="M22" i="4" s="1"/>
  <c r="G21" i="4"/>
  <c r="K21" i="4" s="1"/>
  <c r="I10" i="4"/>
  <c r="M10" i="4" s="1"/>
  <c r="G9" i="4"/>
  <c r="K9" i="4" s="1"/>
  <c r="J59" i="4"/>
  <c r="H58" i="4"/>
  <c r="J47" i="4"/>
  <c r="H46" i="4"/>
  <c r="J35" i="4"/>
  <c r="H34" i="4"/>
  <c r="J23" i="4"/>
  <c r="H22" i="4"/>
  <c r="L22" i="4" s="1"/>
  <c r="J11" i="4"/>
  <c r="H10" i="4"/>
  <c r="L10" i="4" s="1"/>
  <c r="I59" i="4"/>
  <c r="M59" i="4" s="1"/>
  <c r="G58" i="4"/>
  <c r="W58" i="4" s="1"/>
  <c r="I47" i="4"/>
  <c r="M47" i="4" s="1"/>
  <c r="G46" i="4"/>
  <c r="I35" i="4"/>
  <c r="M35" i="4" s="1"/>
  <c r="G34" i="4"/>
  <c r="W34" i="4" s="1"/>
  <c r="I23" i="4"/>
  <c r="G22" i="4"/>
  <c r="I11" i="4"/>
  <c r="M11" i="4" s="1"/>
  <c r="G10" i="4"/>
  <c r="K10" i="4" s="1"/>
  <c r="J60" i="4"/>
  <c r="N60" i="4" s="1"/>
  <c r="H59" i="4"/>
  <c r="L59" i="4" s="1"/>
  <c r="J48" i="4"/>
  <c r="N48" i="4" s="1"/>
  <c r="H47" i="4"/>
  <c r="L47" i="4" s="1"/>
  <c r="J36" i="4"/>
  <c r="N36" i="4" s="1"/>
  <c r="H35" i="4"/>
  <c r="J24" i="4"/>
  <c r="N24" i="4" s="1"/>
  <c r="H23" i="4"/>
  <c r="L23" i="4" s="1"/>
  <c r="J12" i="4"/>
  <c r="H11" i="4"/>
  <c r="L11" i="4" s="1"/>
  <c r="H36" i="4"/>
  <c r="I60" i="4"/>
  <c r="G59" i="4"/>
  <c r="K59" i="4" s="1"/>
  <c r="I48" i="4"/>
  <c r="G47" i="4"/>
  <c r="I36" i="4"/>
  <c r="G35" i="4"/>
  <c r="K35" i="4" s="1"/>
  <c r="K25" i="4"/>
  <c r="I24" i="4"/>
  <c r="M24" i="4" s="1"/>
  <c r="G23" i="4"/>
  <c r="K23" i="4" s="1"/>
  <c r="I12" i="4"/>
  <c r="G11" i="4"/>
  <c r="K11" i="4" s="1"/>
  <c r="H60" i="4"/>
  <c r="L60" i="4" s="1"/>
  <c r="J49" i="4"/>
  <c r="H48" i="4"/>
  <c r="L48" i="4" s="1"/>
  <c r="J25" i="4"/>
  <c r="H12" i="4"/>
  <c r="L12" i="4" s="1"/>
  <c r="J61" i="4"/>
  <c r="I61" i="4"/>
  <c r="G60" i="4"/>
  <c r="K60" i="4" s="1"/>
  <c r="I49" i="4"/>
  <c r="G48" i="4"/>
  <c r="I37" i="4"/>
  <c r="M37" i="4" s="1"/>
  <c r="G36" i="4"/>
  <c r="I25" i="4"/>
  <c r="M25" i="4" s="1"/>
  <c r="G24" i="4"/>
  <c r="K14" i="4"/>
  <c r="I13" i="4"/>
  <c r="M13" i="4" s="1"/>
  <c r="G12" i="4"/>
  <c r="H61" i="4"/>
  <c r="J50" i="4"/>
  <c r="H49" i="4"/>
  <c r="J38" i="4"/>
  <c r="H37" i="4"/>
  <c r="H25" i="4"/>
  <c r="W25" i="4" s="1"/>
  <c r="J62" i="4"/>
  <c r="I62" i="4"/>
  <c r="M62" i="4" s="1"/>
  <c r="G61" i="4"/>
  <c r="I50" i="4"/>
  <c r="M50" i="4" s="1"/>
  <c r="G49" i="4"/>
  <c r="K49" i="4" s="1"/>
  <c r="I38" i="4"/>
  <c r="M38" i="4" s="1"/>
  <c r="G37" i="4"/>
  <c r="K37" i="4" s="1"/>
  <c r="I26" i="4"/>
  <c r="M26" i="4" s="1"/>
  <c r="G25" i="4"/>
  <c r="I14" i="4"/>
  <c r="M14" i="4" s="1"/>
  <c r="G13" i="4"/>
  <c r="J27" i="4"/>
  <c r="J15" i="4"/>
  <c r="N15" i="4" s="1"/>
  <c r="V15" i="4" s="1"/>
  <c r="J63" i="4"/>
  <c r="H62" i="4"/>
  <c r="J51" i="4"/>
  <c r="H50" i="4"/>
  <c r="J39" i="4"/>
  <c r="H38" i="4"/>
  <c r="L38" i="4" s="1"/>
  <c r="H26" i="4"/>
  <c r="H14" i="4"/>
  <c r="L14" i="4" s="1"/>
  <c r="J26" i="4"/>
  <c r="I63" i="4"/>
  <c r="M63" i="4" s="1"/>
  <c r="G62" i="4"/>
  <c r="I51" i="4"/>
  <c r="M51" i="4" s="1"/>
  <c r="G50" i="4"/>
  <c r="K50" i="4" s="1"/>
  <c r="I39" i="4"/>
  <c r="M39" i="4" s="1"/>
  <c r="G38" i="4"/>
  <c r="I27" i="4"/>
  <c r="M27" i="4" s="1"/>
  <c r="G26" i="4"/>
  <c r="I15" i="4"/>
  <c r="G14" i="4"/>
  <c r="J14" i="4"/>
  <c r="N14" i="4" s="1"/>
  <c r="H63" i="4"/>
  <c r="J52" i="4"/>
  <c r="H51" i="4"/>
  <c r="L51" i="4" s="1"/>
  <c r="J40" i="4"/>
  <c r="H39" i="4"/>
  <c r="L39" i="4" s="1"/>
  <c r="J28" i="4"/>
  <c r="H27" i="4"/>
  <c r="J16" i="4"/>
  <c r="H15" i="4"/>
  <c r="L15" i="4" s="1"/>
  <c r="J13" i="4"/>
  <c r="G63" i="4"/>
  <c r="I52" i="4"/>
  <c r="M52" i="4" s="1"/>
  <c r="G51" i="4"/>
  <c r="K51" i="4" s="1"/>
  <c r="I40" i="4"/>
  <c r="M40" i="4" s="1"/>
  <c r="G39" i="4"/>
  <c r="I28" i="4"/>
  <c r="M28" i="4" s="1"/>
  <c r="G27" i="4"/>
  <c r="I16" i="4"/>
  <c r="M16" i="4" s="1"/>
  <c r="G15" i="4"/>
  <c r="K15" i="4" s="1"/>
  <c r="I18" i="4"/>
  <c r="J53" i="4"/>
  <c r="H52" i="4"/>
  <c r="L52" i="4" s="1"/>
  <c r="J41" i="4"/>
  <c r="H40" i="4"/>
  <c r="L40" i="4" s="1"/>
  <c r="J29" i="4"/>
  <c r="H28" i="4"/>
  <c r="L28" i="4" s="1"/>
  <c r="J17" i="4"/>
  <c r="H16" i="4"/>
  <c r="K19" i="4"/>
  <c r="K54" i="4"/>
  <c r="I53" i="4"/>
  <c r="M53" i="4" s="1"/>
  <c r="G52" i="4"/>
  <c r="K42" i="4"/>
  <c r="I41" i="4"/>
  <c r="G40" i="4"/>
  <c r="I29" i="4"/>
  <c r="G28" i="4"/>
  <c r="K18" i="4"/>
  <c r="I17" i="4"/>
  <c r="G16" i="4"/>
  <c r="L19" i="4"/>
  <c r="L56" i="4"/>
  <c r="L44" i="4"/>
  <c r="L33" i="4"/>
  <c r="L58" i="4"/>
  <c r="L46" i="4"/>
  <c r="L34" i="4"/>
  <c r="L36" i="4"/>
  <c r="L24" i="4"/>
  <c r="W54" i="4"/>
  <c r="L13" i="4"/>
  <c r="W43" i="4"/>
  <c r="W31" i="4"/>
  <c r="W19" i="4"/>
  <c r="W44" i="4"/>
  <c r="W32" i="4"/>
  <c r="L53" i="4"/>
  <c r="L41" i="4"/>
  <c r="L29" i="4"/>
  <c r="L17" i="4"/>
  <c r="L54" i="4"/>
  <c r="M20" i="4"/>
  <c r="M60" i="4"/>
  <c r="M48" i="4"/>
  <c r="M49" i="4"/>
  <c r="U49" i="4" s="1"/>
  <c r="M15" i="4"/>
  <c r="M42" i="4"/>
  <c r="M55" i="4"/>
  <c r="M43" i="4"/>
  <c r="I8" i="1"/>
  <c r="I14" i="1"/>
  <c r="I20" i="1"/>
  <c r="I26" i="1"/>
  <c r="I32" i="1"/>
  <c r="I38" i="1"/>
  <c r="I44" i="1"/>
  <c r="I50" i="1"/>
  <c r="I56" i="1"/>
  <c r="I62" i="1"/>
  <c r="H63" i="1"/>
  <c r="I21" i="1"/>
  <c r="I39" i="1"/>
  <c r="I51" i="1"/>
  <c r="J15" i="1"/>
  <c r="J27" i="1"/>
  <c r="J39" i="1"/>
  <c r="J57" i="1"/>
  <c r="G10" i="1"/>
  <c r="G40" i="1"/>
  <c r="H16" i="1"/>
  <c r="H34" i="1"/>
  <c r="I10" i="1"/>
  <c r="I40" i="1"/>
  <c r="I58" i="1"/>
  <c r="J22" i="1"/>
  <c r="G11" i="1"/>
  <c r="G41" i="1"/>
  <c r="G59" i="1"/>
  <c r="J8" i="1"/>
  <c r="J14" i="1"/>
  <c r="J20" i="1"/>
  <c r="J26" i="1"/>
  <c r="J32" i="1"/>
  <c r="J38" i="1"/>
  <c r="N38" i="1" s="1"/>
  <c r="J44" i="1"/>
  <c r="J50" i="1"/>
  <c r="J56" i="1"/>
  <c r="J62" i="1"/>
  <c r="G63" i="1"/>
  <c r="I15" i="1"/>
  <c r="I27" i="1"/>
  <c r="I45" i="1"/>
  <c r="I57" i="1"/>
  <c r="J21" i="1"/>
  <c r="J33" i="1"/>
  <c r="J45" i="1"/>
  <c r="J63" i="1"/>
  <c r="G16" i="1"/>
  <c r="G34" i="1"/>
  <c r="H22" i="1"/>
  <c r="H40" i="1"/>
  <c r="I16" i="1"/>
  <c r="I46" i="1"/>
  <c r="J10" i="1"/>
  <c r="J28" i="1"/>
  <c r="J46" i="1"/>
  <c r="G35" i="1"/>
  <c r="G53" i="1"/>
  <c r="G9" i="1"/>
  <c r="G15" i="1"/>
  <c r="G21" i="1"/>
  <c r="G27" i="1"/>
  <c r="G33" i="1"/>
  <c r="G39" i="1"/>
  <c r="G45" i="1"/>
  <c r="G51" i="1"/>
  <c r="G57" i="1"/>
  <c r="I9" i="1"/>
  <c r="I63" i="1"/>
  <c r="G28" i="1"/>
  <c r="H52" i="1"/>
  <c r="J52" i="1"/>
  <c r="G17" i="1"/>
  <c r="H9" i="1"/>
  <c r="H15" i="1"/>
  <c r="H21" i="1"/>
  <c r="H27" i="1"/>
  <c r="H33" i="1"/>
  <c r="H39" i="1"/>
  <c r="H45" i="1"/>
  <c r="H51" i="1"/>
  <c r="H57" i="1"/>
  <c r="I33" i="1"/>
  <c r="J51" i="1"/>
  <c r="G52" i="1"/>
  <c r="H10" i="1"/>
  <c r="I28" i="1"/>
  <c r="J34" i="1"/>
  <c r="G29" i="1"/>
  <c r="G46" i="1"/>
  <c r="H58" i="1"/>
  <c r="I34" i="1"/>
  <c r="J40" i="1"/>
  <c r="J9" i="1"/>
  <c r="G22" i="1"/>
  <c r="G58" i="1"/>
  <c r="H28" i="1"/>
  <c r="H46" i="1"/>
  <c r="I22" i="1"/>
  <c r="I52" i="1"/>
  <c r="J16" i="1"/>
  <c r="J58" i="1"/>
  <c r="G23" i="1"/>
  <c r="G47" i="1"/>
  <c r="I11" i="1"/>
  <c r="H20" i="1"/>
  <c r="J31" i="1"/>
  <c r="H43" i="1"/>
  <c r="J54" i="1"/>
  <c r="K35" i="1"/>
  <c r="I35" i="1"/>
  <c r="H47" i="1"/>
  <c r="G36" i="1"/>
  <c r="J24" i="1"/>
  <c r="I36" i="1"/>
  <c r="J36" i="1"/>
  <c r="G37" i="1"/>
  <c r="G26" i="1"/>
  <c r="H41" i="1"/>
  <c r="I18" i="1"/>
  <c r="J18" i="1"/>
  <c r="H62" i="1"/>
  <c r="H19" i="1"/>
  <c r="I19" i="1"/>
  <c r="J19" i="1"/>
  <c r="G43" i="1"/>
  <c r="J11" i="1"/>
  <c r="H23" i="1"/>
  <c r="G32" i="1"/>
  <c r="I43" i="1"/>
  <c r="G55" i="1"/>
  <c r="G24" i="1"/>
  <c r="J35" i="1"/>
  <c r="I47" i="1"/>
  <c r="H36" i="1"/>
  <c r="I13" i="1"/>
  <c r="H25" i="1"/>
  <c r="I48" i="1"/>
  <c r="J48" i="1"/>
  <c r="I37" i="1"/>
  <c r="J37" i="1"/>
  <c r="H29" i="1"/>
  <c r="G18" i="1"/>
  <c r="I30" i="1"/>
  <c r="H42" i="1"/>
  <c r="G31" i="1"/>
  <c r="H8" i="1"/>
  <c r="I31" i="1"/>
  <c r="G12" i="1"/>
  <c r="I23" i="1"/>
  <c r="H32" i="1"/>
  <c r="J43" i="1"/>
  <c r="H55" i="1"/>
  <c r="J55" i="1"/>
  <c r="H24" i="1"/>
  <c r="H56" i="1"/>
  <c r="H13" i="1"/>
  <c r="H59" i="1"/>
  <c r="I59" i="1"/>
  <c r="J13" i="1"/>
  <c r="I25" i="1"/>
  <c r="H37" i="1"/>
  <c r="H17" i="1"/>
  <c r="H49" i="1"/>
  <c r="G38" i="1"/>
  <c r="H61" i="1"/>
  <c r="H18" i="1"/>
  <c r="I41" i="1"/>
  <c r="H53" i="1"/>
  <c r="G42" i="1"/>
  <c r="J53" i="1"/>
  <c r="G8" i="1"/>
  <c r="H31" i="1"/>
  <c r="G20" i="1"/>
  <c r="I54" i="1"/>
  <c r="H12" i="1"/>
  <c r="J23" i="1"/>
  <c r="H35" i="1"/>
  <c r="G44" i="1"/>
  <c r="I55" i="1"/>
  <c r="H44" i="1"/>
  <c r="J12" i="1"/>
  <c r="I24" i="1"/>
  <c r="G25" i="1"/>
  <c r="J59" i="1"/>
  <c r="H14" i="1"/>
  <c r="H60" i="1"/>
  <c r="I60" i="1"/>
  <c r="H26" i="1"/>
  <c r="J49" i="1"/>
  <c r="I61" i="1"/>
  <c r="H50" i="1"/>
  <c r="H30" i="1"/>
  <c r="I53" i="1"/>
  <c r="J30" i="1"/>
  <c r="G54" i="1"/>
  <c r="H54" i="1"/>
  <c r="H11" i="1"/>
  <c r="I12" i="1"/>
  <c r="G56" i="1"/>
  <c r="G13" i="1"/>
  <c r="K27" i="1"/>
  <c r="J47" i="1"/>
  <c r="G48" i="1"/>
  <c r="H48" i="1"/>
  <c r="G60" i="1"/>
  <c r="J25" i="1"/>
  <c r="G49" i="1"/>
  <c r="I17" i="1"/>
  <c r="I49" i="1"/>
  <c r="I29" i="1"/>
  <c r="G50" i="1"/>
  <c r="J61" i="1"/>
  <c r="G62" i="1"/>
  <c r="G14" i="1"/>
  <c r="J60" i="1"/>
  <c r="J17" i="1"/>
  <c r="G61" i="1"/>
  <c r="H38" i="1"/>
  <c r="J29" i="1"/>
  <c r="G30" i="1"/>
  <c r="J41" i="1"/>
  <c r="G19" i="1"/>
  <c r="I42" i="1"/>
  <c r="J42" i="1"/>
  <c r="N22" i="1"/>
  <c r="N46" i="1"/>
  <c r="N26" i="1"/>
  <c r="N58" i="1"/>
  <c r="N51" i="1"/>
  <c r="N50" i="1"/>
  <c r="L8" i="1"/>
  <c r="L43" i="1"/>
  <c r="L18" i="1"/>
  <c r="L39" i="1"/>
  <c r="L51" i="1"/>
  <c r="L45" i="1"/>
  <c r="M30" i="1"/>
  <c r="M62" i="1"/>
  <c r="M21" i="1"/>
  <c r="M8" i="1"/>
  <c r="M33" i="1"/>
  <c r="M56" i="1"/>
  <c r="F7" i="1"/>
  <c r="E7" i="1"/>
  <c r="C7" i="1"/>
  <c r="D7" i="1"/>
  <c r="A7" i="1"/>
  <c r="U51" i="4" l="1"/>
  <c r="U22" i="4"/>
  <c r="T48" i="4"/>
  <c r="T22" i="4"/>
  <c r="S51" i="4"/>
  <c r="X32" i="4"/>
  <c r="W18" i="4"/>
  <c r="W49" i="4"/>
  <c r="W9" i="4"/>
  <c r="X39" i="4"/>
  <c r="W61" i="4"/>
  <c r="X44" i="4"/>
  <c r="W37" i="4"/>
  <c r="X17" i="4"/>
  <c r="W50" i="4"/>
  <c r="W16" i="4"/>
  <c r="T34" i="4"/>
  <c r="W57" i="4"/>
  <c r="W12" i="4"/>
  <c r="T54" i="4"/>
  <c r="W46" i="4"/>
  <c r="S10" i="4"/>
  <c r="W47" i="4"/>
  <c r="W62" i="4"/>
  <c r="U43" i="4"/>
  <c r="W11" i="4"/>
  <c r="W39" i="4"/>
  <c r="K30" i="4"/>
  <c r="X51" i="4"/>
  <c r="W33" i="4"/>
  <c r="W59" i="4"/>
  <c r="T14" i="4"/>
  <c r="U25" i="4"/>
  <c r="T32" i="4"/>
  <c r="U45" i="4"/>
  <c r="T42" i="4"/>
  <c r="S11" i="4"/>
  <c r="U46" i="4"/>
  <c r="U58" i="4"/>
  <c r="U59" i="4"/>
  <c r="U26" i="4"/>
  <c r="K58" i="4"/>
  <c r="O58" i="4" s="1"/>
  <c r="T17" i="4"/>
  <c r="L61" i="4"/>
  <c r="T61" i="4" s="1"/>
  <c r="L9" i="4"/>
  <c r="T9" i="4" s="1"/>
  <c r="T55" i="4"/>
  <c r="L20" i="4"/>
  <c r="P20" i="4" s="1"/>
  <c r="W23" i="4"/>
  <c r="L25" i="4"/>
  <c r="T25" i="4" s="1"/>
  <c r="W42" i="4"/>
  <c r="W13" i="4"/>
  <c r="O18" i="4"/>
  <c r="U27" i="4"/>
  <c r="X53" i="4"/>
  <c r="Y53" i="4" s="1"/>
  <c r="U38" i="4"/>
  <c r="X29" i="4"/>
  <c r="S20" i="4"/>
  <c r="W15" i="4"/>
  <c r="U53" i="4"/>
  <c r="L49" i="4"/>
  <c r="T49" i="4" s="1"/>
  <c r="U14" i="4"/>
  <c r="L16" i="4"/>
  <c r="T16" i="4" s="1"/>
  <c r="U16" i="4"/>
  <c r="T59" i="4"/>
  <c r="S31" i="4"/>
  <c r="T40" i="4"/>
  <c r="T52" i="4"/>
  <c r="U55" i="4"/>
  <c r="L37" i="4"/>
  <c r="T38" i="4" s="1"/>
  <c r="W51" i="4"/>
  <c r="Y51" i="4" s="1"/>
  <c r="S59" i="4"/>
  <c r="X41" i="4"/>
  <c r="Y41" i="4" s="1"/>
  <c r="U28" i="4"/>
  <c r="W60" i="4"/>
  <c r="S43" i="4"/>
  <c r="X63" i="4"/>
  <c r="T44" i="4"/>
  <c r="U33" i="4"/>
  <c r="T24" i="4"/>
  <c r="X47" i="4"/>
  <c r="X59" i="4"/>
  <c r="Y59" i="4" s="1"/>
  <c r="U50" i="4"/>
  <c r="W45" i="4"/>
  <c r="S60" i="4"/>
  <c r="S50" i="4"/>
  <c r="S45" i="4"/>
  <c r="S21" i="4"/>
  <c r="U60" i="4"/>
  <c r="W48" i="4"/>
  <c r="T47" i="4"/>
  <c r="W38" i="4"/>
  <c r="P36" i="4"/>
  <c r="Q63" i="4"/>
  <c r="P11" i="4"/>
  <c r="Q58" i="4"/>
  <c r="S46" i="4"/>
  <c r="Q44" i="4"/>
  <c r="O60" i="4"/>
  <c r="U11" i="4"/>
  <c r="M23" i="4"/>
  <c r="U23" i="4" s="1"/>
  <c r="T15" i="4"/>
  <c r="W55" i="4"/>
  <c r="S19" i="4"/>
  <c r="P15" i="4"/>
  <c r="K62" i="4"/>
  <c r="P10" i="4"/>
  <c r="O56" i="4"/>
  <c r="O54" i="4"/>
  <c r="P29" i="4"/>
  <c r="N39" i="4"/>
  <c r="R39" i="4" s="1"/>
  <c r="Q28" i="4"/>
  <c r="M17" i="4"/>
  <c r="U17" i="4" s="1"/>
  <c r="U24" i="4"/>
  <c r="T11" i="4"/>
  <c r="Q53" i="4"/>
  <c r="U40" i="4"/>
  <c r="U35" i="4"/>
  <c r="T13" i="4"/>
  <c r="W28" i="4"/>
  <c r="P14" i="4"/>
  <c r="Q62" i="4"/>
  <c r="P23" i="4"/>
  <c r="Q57" i="4"/>
  <c r="Q55" i="4"/>
  <c r="U52" i="4"/>
  <c r="U47" i="4"/>
  <c r="W40" i="4"/>
  <c r="K63" i="4"/>
  <c r="P12" i="4"/>
  <c r="R24" i="4"/>
  <c r="P22" i="4"/>
  <c r="P41" i="4"/>
  <c r="N51" i="4"/>
  <c r="P38" i="4"/>
  <c r="P21" i="4"/>
  <c r="K57" i="4"/>
  <c r="S57" i="4" s="1"/>
  <c r="P18" i="4"/>
  <c r="R42" i="4"/>
  <c r="X14" i="4"/>
  <c r="X56" i="4"/>
  <c r="P28" i="4"/>
  <c r="U10" i="4"/>
  <c r="T56" i="4"/>
  <c r="P39" i="4"/>
  <c r="P48" i="4"/>
  <c r="R36" i="4"/>
  <c r="P34" i="4"/>
  <c r="P32" i="4"/>
  <c r="P8" i="4"/>
  <c r="P53" i="4"/>
  <c r="P47" i="4"/>
  <c r="P33" i="4"/>
  <c r="P30" i="4"/>
  <c r="R54" i="4"/>
  <c r="N9" i="4"/>
  <c r="X19" i="4"/>
  <c r="Y19" i="4" s="1"/>
  <c r="P40" i="4"/>
  <c r="U34" i="4"/>
  <c r="W21" i="4"/>
  <c r="Y21" i="4" s="1"/>
  <c r="Y49" i="4"/>
  <c r="R41" i="4"/>
  <c r="P51" i="4"/>
  <c r="P60" i="4"/>
  <c r="R48" i="4"/>
  <c r="P46" i="4"/>
  <c r="R34" i="4"/>
  <c r="P44" i="4"/>
  <c r="P19" i="4"/>
  <c r="X34" i="4"/>
  <c r="Y34" i="4" s="1"/>
  <c r="N26" i="4"/>
  <c r="R26" i="4" s="1"/>
  <c r="X26" i="4"/>
  <c r="O11" i="4"/>
  <c r="P59" i="4"/>
  <c r="P42" i="4"/>
  <c r="X12" i="4"/>
  <c r="N41" i="4"/>
  <c r="V42" i="4" s="1"/>
  <c r="X31" i="4"/>
  <c r="Y31" i="4" s="1"/>
  <c r="N23" i="4"/>
  <c r="R23" i="4" s="1"/>
  <c r="N33" i="4"/>
  <c r="R33" i="4" s="1"/>
  <c r="U15" i="4"/>
  <c r="W52" i="4"/>
  <c r="U39" i="4"/>
  <c r="R60" i="4"/>
  <c r="P58" i="4"/>
  <c r="R46" i="4"/>
  <c r="P56" i="4"/>
  <c r="P31" i="4"/>
  <c r="N19" i="4"/>
  <c r="X46" i="4"/>
  <c r="N38" i="4"/>
  <c r="X28" i="4"/>
  <c r="X38" i="4"/>
  <c r="Y9" i="4"/>
  <c r="U63" i="4"/>
  <c r="T31" i="4"/>
  <c r="R14" i="4"/>
  <c r="K13" i="4"/>
  <c r="S13" i="4" s="1"/>
  <c r="O10" i="4"/>
  <c r="P57" i="4"/>
  <c r="P54" i="4"/>
  <c r="X24" i="4"/>
  <c r="N53" i="4"/>
  <c r="V54" i="4" s="1"/>
  <c r="X43" i="4"/>
  <c r="Y43" i="4" s="1"/>
  <c r="N35" i="4"/>
  <c r="V35" i="4" s="1"/>
  <c r="N45" i="4"/>
  <c r="R45" i="4" s="1"/>
  <c r="P52" i="4"/>
  <c r="W35" i="4"/>
  <c r="L63" i="4"/>
  <c r="T12" i="4"/>
  <c r="T43" i="4"/>
  <c r="O15" i="4"/>
  <c r="O14" i="4"/>
  <c r="R15" i="4"/>
  <c r="O23" i="4"/>
  <c r="Q11" i="4"/>
  <c r="O9" i="4"/>
  <c r="R58" i="4"/>
  <c r="P24" i="4"/>
  <c r="P43" i="4"/>
  <c r="N31" i="4"/>
  <c r="R31" i="4" s="1"/>
  <c r="X58" i="4"/>
  <c r="Y58" i="4" s="1"/>
  <c r="N50" i="4"/>
  <c r="R50" i="4" s="1"/>
  <c r="X40" i="4"/>
  <c r="X50" i="4"/>
  <c r="Y50" i="4" s="1"/>
  <c r="Y39" i="4"/>
  <c r="T19" i="4"/>
  <c r="T39" i="4"/>
  <c r="W27" i="4"/>
  <c r="Q16" i="4"/>
  <c r="Q15" i="4"/>
  <c r="Q13" i="4"/>
  <c r="Q24" i="4"/>
  <c r="K12" i="4"/>
  <c r="S12" i="4" s="1"/>
  <c r="Q10" i="4"/>
  <c r="J7" i="4"/>
  <c r="X7" i="4" s="1"/>
  <c r="I7" i="4"/>
  <c r="M7" i="4" s="1"/>
  <c r="H7" i="4"/>
  <c r="L7" i="4" s="1"/>
  <c r="T8" i="4" s="1"/>
  <c r="G7" i="4"/>
  <c r="P13" i="4"/>
  <c r="X36" i="4"/>
  <c r="X10" i="4"/>
  <c r="X55" i="4"/>
  <c r="N47" i="4"/>
  <c r="V47" i="4" s="1"/>
  <c r="N57" i="4"/>
  <c r="R57" i="4" s="1"/>
  <c r="N43" i="4"/>
  <c r="V43" i="4" s="1"/>
  <c r="N17" i="4"/>
  <c r="N62" i="4"/>
  <c r="X52" i="4"/>
  <c r="X62" i="4"/>
  <c r="X48" i="4"/>
  <c r="X22" i="4"/>
  <c r="N13" i="4"/>
  <c r="V14" i="4" s="1"/>
  <c r="N59" i="4"/>
  <c r="V59" i="4" s="1"/>
  <c r="N8" i="4"/>
  <c r="R8" i="4" s="1"/>
  <c r="N55" i="4"/>
  <c r="V55" i="4" s="1"/>
  <c r="N29" i="4"/>
  <c r="X18" i="4"/>
  <c r="X13" i="4"/>
  <c r="X60" i="4"/>
  <c r="X33" i="4"/>
  <c r="Y33" i="4" s="1"/>
  <c r="N25" i="4"/>
  <c r="V25" i="4" s="1"/>
  <c r="N28" i="4"/>
  <c r="R28" i="4" s="1"/>
  <c r="N20" i="4"/>
  <c r="R20" i="4" s="1"/>
  <c r="P55" i="4"/>
  <c r="W8" i="4"/>
  <c r="R21" i="4"/>
  <c r="U32" i="4"/>
  <c r="U57" i="4"/>
  <c r="T29" i="4"/>
  <c r="T60" i="4"/>
  <c r="W63" i="4"/>
  <c r="Q25" i="4"/>
  <c r="K8" i="4"/>
  <c r="S9" i="4" s="1"/>
  <c r="M18" i="4"/>
  <c r="M8" i="4"/>
  <c r="T41" i="4"/>
  <c r="Y32" i="4"/>
  <c r="W17" i="4"/>
  <c r="Y17" i="4" s="1"/>
  <c r="O19" i="4"/>
  <c r="Q19" i="4"/>
  <c r="N16" i="4"/>
  <c r="V16" i="4" s="1"/>
  <c r="N40" i="4"/>
  <c r="X30" i="4"/>
  <c r="Y30" i="4" s="1"/>
  <c r="X8" i="4"/>
  <c r="X25" i="4"/>
  <c r="Y25" i="4" s="1"/>
  <c r="K17" i="4"/>
  <c r="O17" i="4" s="1"/>
  <c r="K16" i="4"/>
  <c r="S16" i="4" s="1"/>
  <c r="Q9" i="4"/>
  <c r="K24" i="4"/>
  <c r="S24" i="4" s="1"/>
  <c r="K29" i="4"/>
  <c r="K28" i="4"/>
  <c r="Q26" i="4"/>
  <c r="Q35" i="4"/>
  <c r="Q40" i="4"/>
  <c r="Q48" i="4"/>
  <c r="K36" i="4"/>
  <c r="S36" i="4" s="1"/>
  <c r="Q34" i="4"/>
  <c r="K22" i="4"/>
  <c r="S22" i="4" s="1"/>
  <c r="Q20" i="4"/>
  <c r="Q42" i="4"/>
  <c r="N27" i="4"/>
  <c r="X45" i="4"/>
  <c r="N37" i="4"/>
  <c r="V37" i="4" s="1"/>
  <c r="N11" i="4"/>
  <c r="R11" i="4" s="1"/>
  <c r="N32" i="4"/>
  <c r="Q27" i="4"/>
  <c r="S15" i="4"/>
  <c r="Q22" i="4"/>
  <c r="O25" i="4"/>
  <c r="K26" i="4"/>
  <c r="S26" i="4" s="1"/>
  <c r="O20" i="4"/>
  <c r="M30" i="4"/>
  <c r="U31" i="4" s="1"/>
  <c r="U20" i="4"/>
  <c r="T53" i="4"/>
  <c r="Y44" i="4"/>
  <c r="W29" i="4"/>
  <c r="T33" i="4"/>
  <c r="Q21" i="4"/>
  <c r="M61" i="4"/>
  <c r="U61" i="4" s="1"/>
  <c r="U44" i="4"/>
  <c r="L27" i="4"/>
  <c r="T28" i="4" s="1"/>
  <c r="W56" i="4"/>
  <c r="L45" i="4"/>
  <c r="T45" i="4" s="1"/>
  <c r="Q39" i="4"/>
  <c r="K27" i="4"/>
  <c r="Q37" i="4"/>
  <c r="U54" i="4"/>
  <c r="M12" i="4"/>
  <c r="U12" i="4" s="1"/>
  <c r="M56" i="4"/>
  <c r="U56" i="4" s="1"/>
  <c r="L26" i="4"/>
  <c r="L62" i="4"/>
  <c r="L57" i="4"/>
  <c r="T57" i="4" s="1"/>
  <c r="K41" i="4"/>
  <c r="O41" i="4" s="1"/>
  <c r="K40" i="4"/>
  <c r="O37" i="4"/>
  <c r="K38" i="4"/>
  <c r="S38" i="4" s="1"/>
  <c r="O46" i="4"/>
  <c r="O32" i="4"/>
  <c r="O30" i="4"/>
  <c r="X11" i="4"/>
  <c r="Y11" i="4" s="1"/>
  <c r="N52" i="4"/>
  <c r="R52" i="4" s="1"/>
  <c r="X42" i="4"/>
  <c r="X16" i="4"/>
  <c r="Y16" i="4" s="1"/>
  <c r="X37" i="4"/>
  <c r="Y37" i="4" s="1"/>
  <c r="N18" i="4"/>
  <c r="X57" i="4"/>
  <c r="Y57" i="4" s="1"/>
  <c r="N49" i="4"/>
  <c r="V49" i="4" s="1"/>
  <c r="N10" i="4"/>
  <c r="N44" i="4"/>
  <c r="R44" i="4" s="1"/>
  <c r="O21" i="4"/>
  <c r="O51" i="4"/>
  <c r="O59" i="4"/>
  <c r="O45" i="4"/>
  <c r="O31" i="4"/>
  <c r="Q31" i="4"/>
  <c r="M29" i="4"/>
  <c r="U29" i="4" s="1"/>
  <c r="M36" i="4"/>
  <c r="U36" i="4" s="1"/>
  <c r="W24" i="4"/>
  <c r="W10" i="4"/>
  <c r="Y10" i="4" s="1"/>
  <c r="AA10" i="4" s="1"/>
  <c r="L50" i="4"/>
  <c r="T50" i="4" s="1"/>
  <c r="T23" i="4"/>
  <c r="W14" i="4"/>
  <c r="Q51" i="4"/>
  <c r="K39" i="4"/>
  <c r="O39" i="4" s="1"/>
  <c r="Q49" i="4"/>
  <c r="Q60" i="4"/>
  <c r="K48" i="4"/>
  <c r="S49" i="4" s="1"/>
  <c r="Q46" i="4"/>
  <c r="K34" i="4"/>
  <c r="Q32" i="4"/>
  <c r="S32" i="4"/>
  <c r="Q54" i="4"/>
  <c r="X23" i="4"/>
  <c r="N63" i="4"/>
  <c r="X54" i="4"/>
  <c r="Y54" i="4" s="1"/>
  <c r="X15" i="4"/>
  <c r="X49" i="4"/>
  <c r="O35" i="4"/>
  <c r="Q38" i="4"/>
  <c r="Q47" i="4"/>
  <c r="Q33" i="4"/>
  <c r="Q52" i="4"/>
  <c r="M41" i="4"/>
  <c r="U41" i="4" s="1"/>
  <c r="U48" i="4"/>
  <c r="W36" i="4"/>
  <c r="W22" i="4"/>
  <c r="L35" i="4"/>
  <c r="T35" i="4" s="1"/>
  <c r="W26" i="4"/>
  <c r="K53" i="4"/>
  <c r="O53" i="4" s="1"/>
  <c r="K52" i="4"/>
  <c r="S52" i="4" s="1"/>
  <c r="O49" i="4"/>
  <c r="K61" i="4"/>
  <c r="S61" i="4" s="1"/>
  <c r="K47" i="4"/>
  <c r="S47" i="4" s="1"/>
  <c r="O44" i="4"/>
  <c r="K33" i="4"/>
  <c r="S33" i="4" s="1"/>
  <c r="O42" i="4"/>
  <c r="K55" i="4"/>
  <c r="S55" i="4" s="1"/>
  <c r="N30" i="4"/>
  <c r="X21" i="4"/>
  <c r="N61" i="4"/>
  <c r="V61" i="4" s="1"/>
  <c r="N22" i="4"/>
  <c r="V22" i="4" s="1"/>
  <c r="N56" i="4"/>
  <c r="Q14" i="4"/>
  <c r="O50" i="4"/>
  <c r="Q50" i="4"/>
  <c r="Q59" i="4"/>
  <c r="Q45" i="4"/>
  <c r="O43" i="4"/>
  <c r="Q43" i="4"/>
  <c r="P17" i="4"/>
  <c r="X35" i="4"/>
  <c r="X20" i="4"/>
  <c r="Y20" i="4" s="1"/>
  <c r="N12" i="4"/>
  <c r="X27" i="4"/>
  <c r="X61" i="4"/>
  <c r="Y61" i="4" s="1"/>
  <c r="K62" i="1"/>
  <c r="O62" i="1"/>
  <c r="N49" i="1"/>
  <c r="R49" i="1"/>
  <c r="L29" i="1"/>
  <c r="P29" i="1"/>
  <c r="K26" i="1"/>
  <c r="O26" i="1" s="1"/>
  <c r="R9" i="1"/>
  <c r="K28" i="1"/>
  <c r="O28" i="1"/>
  <c r="N45" i="1"/>
  <c r="V45" i="1" s="1"/>
  <c r="R45" i="1"/>
  <c r="M10" i="1"/>
  <c r="U10" i="1" s="1"/>
  <c r="Q10" i="1"/>
  <c r="L17" i="1"/>
  <c r="P17" i="1"/>
  <c r="X59" i="1"/>
  <c r="M25" i="1"/>
  <c r="U26" i="1" s="1"/>
  <c r="Q25" i="1"/>
  <c r="P25" i="1"/>
  <c r="K36" i="1"/>
  <c r="O36" i="1" s="1"/>
  <c r="K29" i="1"/>
  <c r="O29" i="1"/>
  <c r="K45" i="1"/>
  <c r="S45" i="1" s="1"/>
  <c r="M27" i="1"/>
  <c r="Q27" i="1"/>
  <c r="N57" i="1"/>
  <c r="R57" i="1" s="1"/>
  <c r="M60" i="1"/>
  <c r="Q60" i="1"/>
  <c r="K46" i="1"/>
  <c r="O46" i="1"/>
  <c r="L36" i="1"/>
  <c r="T36" i="1" s="1"/>
  <c r="P36" i="1"/>
  <c r="R12" i="1"/>
  <c r="L59" i="1"/>
  <c r="P59" i="1"/>
  <c r="M47" i="1"/>
  <c r="U47" i="1" s="1"/>
  <c r="Q47" i="1"/>
  <c r="P10" i="1"/>
  <c r="O27" i="1"/>
  <c r="N62" i="1"/>
  <c r="V62" i="1" s="1"/>
  <c r="R62" i="1"/>
  <c r="N15" i="1"/>
  <c r="R15" i="1"/>
  <c r="M37" i="1"/>
  <c r="Q37" i="1"/>
  <c r="M15" i="1"/>
  <c r="Q15" i="1"/>
  <c r="K21" i="1"/>
  <c r="O21" i="1" s="1"/>
  <c r="M55" i="1"/>
  <c r="Q55" i="1"/>
  <c r="L56" i="1"/>
  <c r="P56" i="1"/>
  <c r="K24" i="1"/>
  <c r="O24" i="1"/>
  <c r="P43" i="1"/>
  <c r="R51" i="1"/>
  <c r="K15" i="1"/>
  <c r="S15" i="1" s="1"/>
  <c r="O15" i="1"/>
  <c r="R50" i="1"/>
  <c r="M39" i="1"/>
  <c r="U39" i="1" s="1"/>
  <c r="Q39" i="1"/>
  <c r="K38" i="1"/>
  <c r="S39" i="1" s="1"/>
  <c r="O38" i="1"/>
  <c r="L60" i="1"/>
  <c r="P60" i="1"/>
  <c r="K10" i="1"/>
  <c r="O10" i="1"/>
  <c r="N47" i="1"/>
  <c r="R47" i="1"/>
  <c r="K44" i="1"/>
  <c r="O44" i="1" s="1"/>
  <c r="K55" i="1"/>
  <c r="S56" i="1" s="1"/>
  <c r="O55" i="1"/>
  <c r="N31" i="1"/>
  <c r="R31" i="1"/>
  <c r="Q33" i="1"/>
  <c r="K9" i="1"/>
  <c r="S9" i="1" s="1"/>
  <c r="O9" i="1"/>
  <c r="N44" i="1"/>
  <c r="V44" i="1" s="1"/>
  <c r="R44" i="1"/>
  <c r="Q21" i="1"/>
  <c r="N33" i="1"/>
  <c r="V34" i="1" s="1"/>
  <c r="R33" i="1"/>
  <c r="K57" i="1"/>
  <c r="S57" i="1" s="1"/>
  <c r="O57" i="1"/>
  <c r="X39" i="1"/>
  <c r="L35" i="1"/>
  <c r="P35" i="1"/>
  <c r="K32" i="1"/>
  <c r="O32" i="1"/>
  <c r="M11" i="1"/>
  <c r="U11" i="1" s="1"/>
  <c r="Q11" i="1"/>
  <c r="P51" i="1"/>
  <c r="O35" i="1"/>
  <c r="N32" i="1"/>
  <c r="R32" i="1"/>
  <c r="Q62" i="1"/>
  <c r="N48" i="1"/>
  <c r="V49" i="1" s="1"/>
  <c r="R48" i="1"/>
  <c r="N34" i="1"/>
  <c r="R34" i="1"/>
  <c r="N35" i="1"/>
  <c r="V35" i="1" s="1"/>
  <c r="R35" i="1"/>
  <c r="K13" i="1"/>
  <c r="S14" i="1" s="1"/>
  <c r="O13" i="1"/>
  <c r="L23" i="1"/>
  <c r="T23" i="1" s="1"/>
  <c r="P23" i="1"/>
  <c r="K47" i="1"/>
  <c r="O47" i="1" s="1"/>
  <c r="P45" i="1"/>
  <c r="R46" i="1"/>
  <c r="R26" i="1"/>
  <c r="Q56" i="1"/>
  <c r="M63" i="1"/>
  <c r="Q63" i="1"/>
  <c r="K40" i="1"/>
  <c r="O40" i="1" s="1"/>
  <c r="K39" i="1"/>
  <c r="S40" i="1" s="1"/>
  <c r="O39" i="1"/>
  <c r="K48" i="1"/>
  <c r="S48" i="1" s="1"/>
  <c r="O48" i="1"/>
  <c r="M12" i="1"/>
  <c r="Q12" i="1"/>
  <c r="K23" i="1"/>
  <c r="O23" i="1"/>
  <c r="P39" i="1"/>
  <c r="N28" i="1"/>
  <c r="V28" i="1" s="1"/>
  <c r="R28" i="1"/>
  <c r="N20" i="1"/>
  <c r="V20" i="1" s="1"/>
  <c r="R20" i="1"/>
  <c r="M50" i="1"/>
  <c r="U51" i="1" s="1"/>
  <c r="Q50" i="1"/>
  <c r="M45" i="1"/>
  <c r="Q45" i="1"/>
  <c r="K60" i="1"/>
  <c r="O60" i="1" s="1"/>
  <c r="K53" i="1"/>
  <c r="O53" i="1"/>
  <c r="X58" i="1"/>
  <c r="R58" i="1"/>
  <c r="L33" i="1"/>
  <c r="P33" i="1"/>
  <c r="N10" i="1"/>
  <c r="R10" i="1"/>
  <c r="M44" i="1"/>
  <c r="Q44" i="1"/>
  <c r="P16" i="1"/>
  <c r="K25" i="1"/>
  <c r="S26" i="1" s="1"/>
  <c r="O25" i="1"/>
  <c r="M35" i="1"/>
  <c r="Q35" i="1"/>
  <c r="L13" i="1"/>
  <c r="P13" i="1"/>
  <c r="L20" i="1"/>
  <c r="P20" i="1"/>
  <c r="M42" i="1"/>
  <c r="Q42" i="1"/>
  <c r="N41" i="1"/>
  <c r="R41" i="1"/>
  <c r="K30" i="1"/>
  <c r="S30" i="1" s="1"/>
  <c r="O30" i="1"/>
  <c r="L54" i="1"/>
  <c r="P54" i="1"/>
  <c r="L31" i="1"/>
  <c r="P31" i="1"/>
  <c r="K12" i="1"/>
  <c r="O12" i="1"/>
  <c r="N19" i="1"/>
  <c r="R19" i="1"/>
  <c r="N16" i="1"/>
  <c r="V17" i="1" s="1"/>
  <c r="R16" i="1"/>
  <c r="L27" i="1"/>
  <c r="T27" i="1" s="1"/>
  <c r="P27" i="1"/>
  <c r="M46" i="1"/>
  <c r="U46" i="1" s="1"/>
  <c r="Q46" i="1"/>
  <c r="M38" i="1"/>
  <c r="Q38" i="1"/>
  <c r="X37" i="1"/>
  <c r="M9" i="1"/>
  <c r="Q9" i="1"/>
  <c r="M49" i="1"/>
  <c r="Q49" i="1" s="1"/>
  <c r="R13" i="1"/>
  <c r="M28" i="1"/>
  <c r="U28" i="1" s="1"/>
  <c r="Q28" i="1"/>
  <c r="M51" i="1"/>
  <c r="Q51" i="1"/>
  <c r="N42" i="1"/>
  <c r="R42" i="1"/>
  <c r="K19" i="1"/>
  <c r="S19" i="1" s="1"/>
  <c r="O19" i="1"/>
  <c r="K43" i="1"/>
  <c r="S44" i="1" s="1"/>
  <c r="O43" i="1"/>
  <c r="N29" i="1"/>
  <c r="V30" i="1" s="1"/>
  <c r="R29" i="1"/>
  <c r="K54" i="1"/>
  <c r="S54" i="1" s="1"/>
  <c r="O54" i="1"/>
  <c r="K8" i="1"/>
  <c r="O8" i="1"/>
  <c r="M31" i="1"/>
  <c r="Q31" i="1"/>
  <c r="M19" i="1"/>
  <c r="Q19" i="1"/>
  <c r="M52" i="1"/>
  <c r="Q52" i="1"/>
  <c r="M16" i="1"/>
  <c r="U16" i="1" s="1"/>
  <c r="Q16" i="1"/>
  <c r="K59" i="1"/>
  <c r="S59" i="1" s="1"/>
  <c r="O59" i="1"/>
  <c r="M32" i="1"/>
  <c r="U33" i="1" s="1"/>
  <c r="Q32" i="1"/>
  <c r="N61" i="1"/>
  <c r="V61" i="1" s="1"/>
  <c r="R61" i="1"/>
  <c r="P49" i="1"/>
  <c r="L58" i="1"/>
  <c r="T58" i="1" s="1"/>
  <c r="P58" i="1"/>
  <c r="M17" i="1"/>
  <c r="U17" i="1" s="1"/>
  <c r="Q17" i="1"/>
  <c r="N25" i="1"/>
  <c r="V26" i="1" s="1"/>
  <c r="R25" i="1"/>
  <c r="L48" i="1"/>
  <c r="P48" i="1"/>
  <c r="N55" i="1"/>
  <c r="R55" i="1"/>
  <c r="N23" i="1"/>
  <c r="R23" i="1"/>
  <c r="N11" i="1"/>
  <c r="R11" i="1"/>
  <c r="L38" i="1"/>
  <c r="P38" i="1"/>
  <c r="N30" i="1"/>
  <c r="R30" i="1"/>
  <c r="N53" i="1"/>
  <c r="R53" i="1"/>
  <c r="P8" i="1"/>
  <c r="L19" i="1"/>
  <c r="T20" i="1" s="1"/>
  <c r="P19" i="1"/>
  <c r="M22" i="1"/>
  <c r="U23" i="1" s="1"/>
  <c r="Q22" i="1"/>
  <c r="L15" i="1"/>
  <c r="T15" i="1" s="1"/>
  <c r="P15" i="1"/>
  <c r="L40" i="1"/>
  <c r="P40" i="1"/>
  <c r="K41" i="1"/>
  <c r="O41" i="1" s="1"/>
  <c r="M26" i="1"/>
  <c r="Q26" i="1"/>
  <c r="K50" i="1"/>
  <c r="O50" i="1" s="1"/>
  <c r="M36" i="1"/>
  <c r="Q36" i="1"/>
  <c r="K51" i="1"/>
  <c r="O51" i="1" s="1"/>
  <c r="M59" i="1"/>
  <c r="Q59" i="1"/>
  <c r="N54" i="1"/>
  <c r="V54" i="1" s="1"/>
  <c r="R54" i="1"/>
  <c r="L57" i="1"/>
  <c r="T57" i="1" s="1"/>
  <c r="P57" i="1"/>
  <c r="N43" i="1"/>
  <c r="V43" i="1" s="1"/>
  <c r="R43" i="1"/>
  <c r="K20" i="1"/>
  <c r="S20" i="1" s="1"/>
  <c r="O20" i="1"/>
  <c r="M53" i="1"/>
  <c r="Q53" i="1"/>
  <c r="K42" i="1"/>
  <c r="S42" i="1" s="1"/>
  <c r="O42" i="1"/>
  <c r="K31" i="1"/>
  <c r="O31" i="1" s="1"/>
  <c r="L62" i="1"/>
  <c r="P62" i="1"/>
  <c r="L46" i="1"/>
  <c r="P46" i="1" s="1"/>
  <c r="L9" i="1"/>
  <c r="P9" i="1"/>
  <c r="L22" i="1"/>
  <c r="P22" i="1" s="1"/>
  <c r="K11" i="1"/>
  <c r="O11" i="1"/>
  <c r="M20" i="1"/>
  <c r="U20" i="1" s="1"/>
  <c r="Q20" i="1"/>
  <c r="K37" i="1"/>
  <c r="O37" i="1"/>
  <c r="X21" i="1"/>
  <c r="R21" i="1"/>
  <c r="L14" i="1"/>
  <c r="T14" i="1" s="1"/>
  <c r="P14" i="1"/>
  <c r="M13" i="1"/>
  <c r="U13" i="1" s="1"/>
  <c r="Q13" i="1"/>
  <c r="K63" i="1"/>
  <c r="S63" i="1" s="1"/>
  <c r="O63" i="1"/>
  <c r="K52" i="1"/>
  <c r="O52" i="1" s="1"/>
  <c r="R38" i="1"/>
  <c r="W12" i="1"/>
  <c r="P11" i="1"/>
  <c r="N17" i="1"/>
  <c r="R17" i="1"/>
  <c r="L30" i="1"/>
  <c r="P30" i="1" s="1"/>
  <c r="L53" i="1"/>
  <c r="P53" i="1"/>
  <c r="L42" i="1"/>
  <c r="T43" i="1" s="1"/>
  <c r="P42" i="1"/>
  <c r="N18" i="1"/>
  <c r="V18" i="1" s="1"/>
  <c r="R18" i="1"/>
  <c r="L28" i="1"/>
  <c r="T29" i="1" s="1"/>
  <c r="P28" i="1"/>
  <c r="K17" i="1"/>
  <c r="S17" i="1" s="1"/>
  <c r="O17" i="1"/>
  <c r="K34" i="1"/>
  <c r="S34" i="1" s="1"/>
  <c r="O34" i="1"/>
  <c r="R22" i="1"/>
  <c r="M14" i="1"/>
  <c r="U14" i="1" s="1"/>
  <c r="Q14" i="1"/>
  <c r="L26" i="1"/>
  <c r="P26" i="1"/>
  <c r="M34" i="1"/>
  <c r="U34" i="1" s="1"/>
  <c r="Q34" i="1"/>
  <c r="M57" i="1"/>
  <c r="Q57" i="1" s="1"/>
  <c r="K49" i="1"/>
  <c r="O49" i="1"/>
  <c r="M24" i="1"/>
  <c r="Q24" i="1"/>
  <c r="L44" i="1"/>
  <c r="P44" i="1"/>
  <c r="M43" i="1"/>
  <c r="U43" i="1" s="1"/>
  <c r="Q43" i="1"/>
  <c r="W55" i="1"/>
  <c r="P55" i="1"/>
  <c r="L32" i="1"/>
  <c r="T32" i="1" s="1"/>
  <c r="P32" i="1"/>
  <c r="K61" i="1"/>
  <c r="S62" i="1" s="1"/>
  <c r="O61" i="1"/>
  <c r="L50" i="1"/>
  <c r="P50" i="1"/>
  <c r="M41" i="1"/>
  <c r="U41" i="1" s="1"/>
  <c r="Q41" i="1"/>
  <c r="Q30" i="1"/>
  <c r="M18" i="1"/>
  <c r="Q18" i="1"/>
  <c r="K58" i="1"/>
  <c r="O58" i="1" s="1"/>
  <c r="N52" i="1"/>
  <c r="R52" i="1"/>
  <c r="K16" i="1"/>
  <c r="O16" i="1" s="1"/>
  <c r="M58" i="1"/>
  <c r="Q58" i="1"/>
  <c r="Q8" i="1"/>
  <c r="P34" i="1"/>
  <c r="M29" i="1"/>
  <c r="U29" i="1" s="1"/>
  <c r="Q29" i="1"/>
  <c r="M48" i="1"/>
  <c r="Q48" i="1"/>
  <c r="W47" i="1"/>
  <c r="K33" i="1"/>
  <c r="S33" i="1" s="1"/>
  <c r="O33" i="1"/>
  <c r="X56" i="1"/>
  <c r="R56" i="1"/>
  <c r="L63" i="1"/>
  <c r="P63" i="1" s="1"/>
  <c r="K56" i="1"/>
  <c r="O56" i="1"/>
  <c r="M23" i="1"/>
  <c r="Q23" i="1" s="1"/>
  <c r="N60" i="1"/>
  <c r="R60" i="1"/>
  <c r="K14" i="1"/>
  <c r="O14" i="1"/>
  <c r="M61" i="1"/>
  <c r="Q61" i="1"/>
  <c r="P18" i="1"/>
  <c r="K18" i="1"/>
  <c r="S18" i="1" s="1"/>
  <c r="O18" i="1"/>
  <c r="P41" i="1"/>
  <c r="K22" i="1"/>
  <c r="S22" i="1" s="1"/>
  <c r="O22" i="1"/>
  <c r="R63" i="1"/>
  <c r="M40" i="1"/>
  <c r="U40" i="1" s="1"/>
  <c r="Q40" i="1"/>
  <c r="X40" i="1"/>
  <c r="W43" i="1"/>
  <c r="W24" i="1"/>
  <c r="W37" i="1"/>
  <c r="X36" i="1"/>
  <c r="W10" i="1"/>
  <c r="W51" i="1"/>
  <c r="V47" i="1"/>
  <c r="X54" i="1"/>
  <c r="W18" i="1"/>
  <c r="X51" i="1"/>
  <c r="X50" i="1"/>
  <c r="W45" i="1"/>
  <c r="N56" i="1"/>
  <c r="V56" i="1" s="1"/>
  <c r="X27" i="1"/>
  <c r="L24" i="1"/>
  <c r="P24" i="1" s="1"/>
  <c r="U52" i="1"/>
  <c r="W21" i="1"/>
  <c r="Y21" i="1" s="1"/>
  <c r="U12" i="1"/>
  <c r="W49" i="1"/>
  <c r="Y49" i="1" s="1"/>
  <c r="U22" i="1"/>
  <c r="T40" i="1"/>
  <c r="U48" i="1"/>
  <c r="T46" i="1"/>
  <c r="L55" i="1"/>
  <c r="L10" i="1"/>
  <c r="T10" i="1" s="1"/>
  <c r="X12" i="1"/>
  <c r="Y12" i="1" s="1"/>
  <c r="X13" i="1"/>
  <c r="W52" i="1"/>
  <c r="X63" i="1"/>
  <c r="N27" i="1"/>
  <c r="V27" i="1" s="1"/>
  <c r="T44" i="1"/>
  <c r="X9" i="1"/>
  <c r="S28" i="1"/>
  <c r="X45" i="1"/>
  <c r="W31" i="1"/>
  <c r="S10" i="1"/>
  <c r="M54" i="1"/>
  <c r="Q54" i="1" s="1"/>
  <c r="N39" i="1"/>
  <c r="V39" i="1" s="1"/>
  <c r="L47" i="1"/>
  <c r="T48" i="1" s="1"/>
  <c r="T59" i="1"/>
  <c r="W53" i="1"/>
  <c r="Y53" i="1" s="1"/>
  <c r="W41" i="1"/>
  <c r="V52" i="1"/>
  <c r="W25" i="1"/>
  <c r="W16" i="1"/>
  <c r="W60" i="1"/>
  <c r="L49" i="1"/>
  <c r="T49" i="1" s="1"/>
  <c r="N13" i="1"/>
  <c r="W62" i="1"/>
  <c r="X24" i="1"/>
  <c r="Y24" i="1" s="1"/>
  <c r="W29" i="1"/>
  <c r="X57" i="1"/>
  <c r="X22" i="1"/>
  <c r="N12" i="1"/>
  <c r="V12" i="1" s="1"/>
  <c r="X61" i="1"/>
  <c r="W34" i="1"/>
  <c r="L12" i="1"/>
  <c r="T13" i="1" s="1"/>
  <c r="W11" i="1"/>
  <c r="X11" i="1"/>
  <c r="X34" i="1"/>
  <c r="L37" i="1"/>
  <c r="T38" i="1" s="1"/>
  <c r="N59" i="1"/>
  <c r="V60" i="1" s="1"/>
  <c r="W63" i="1"/>
  <c r="N40" i="1"/>
  <c r="R40" i="1" s="1"/>
  <c r="V51" i="1"/>
  <c r="W8" i="1"/>
  <c r="X48" i="1"/>
  <c r="N63" i="1"/>
  <c r="X49" i="1"/>
  <c r="X46" i="1"/>
  <c r="L41" i="1"/>
  <c r="S50" i="1"/>
  <c r="W26" i="1"/>
  <c r="W61" i="1"/>
  <c r="X14" i="1"/>
  <c r="X30" i="1"/>
  <c r="U60" i="1"/>
  <c r="X8" i="1"/>
  <c r="U18" i="1"/>
  <c r="Y37" i="1"/>
  <c r="U44" i="1"/>
  <c r="T60" i="1"/>
  <c r="U38" i="1"/>
  <c r="W28" i="1"/>
  <c r="X43" i="1"/>
  <c r="L11" i="1"/>
  <c r="L25" i="1"/>
  <c r="W15" i="1"/>
  <c r="W50" i="1"/>
  <c r="X62" i="1"/>
  <c r="X60" i="1"/>
  <c r="W39" i="1"/>
  <c r="Y39" i="1" s="1"/>
  <c r="W57" i="1"/>
  <c r="X20" i="1"/>
  <c r="L21" i="1"/>
  <c r="T21" i="1" s="1"/>
  <c r="N36" i="1"/>
  <c r="V36" i="1" s="1"/>
  <c r="U61" i="1"/>
  <c r="S55" i="1"/>
  <c r="U57" i="1"/>
  <c r="W22" i="1"/>
  <c r="W58" i="1"/>
  <c r="X52" i="1"/>
  <c r="W36" i="1"/>
  <c r="W33" i="1"/>
  <c r="W48" i="1"/>
  <c r="X19" i="1"/>
  <c r="X10" i="1"/>
  <c r="Y10" i="1" s="1"/>
  <c r="X28" i="1"/>
  <c r="W35" i="1"/>
  <c r="W23" i="1"/>
  <c r="W9" i="1"/>
  <c r="Y9" i="1" s="1"/>
  <c r="W40" i="1"/>
  <c r="X42" i="1"/>
  <c r="W30" i="1"/>
  <c r="Y30" i="1" s="1"/>
  <c r="X55" i="1"/>
  <c r="Y55" i="1" s="1"/>
  <c r="X18" i="1"/>
  <c r="X25" i="1"/>
  <c r="W59" i="1"/>
  <c r="W44" i="1"/>
  <c r="X38" i="1"/>
  <c r="X53" i="1"/>
  <c r="N9" i="1"/>
  <c r="W42" i="1"/>
  <c r="X35" i="1"/>
  <c r="X26" i="1"/>
  <c r="N24" i="1"/>
  <c r="V24" i="1" s="1"/>
  <c r="V57" i="1"/>
  <c r="N37" i="1"/>
  <c r="V38" i="1" s="1"/>
  <c r="S49" i="1"/>
  <c r="W54" i="1"/>
  <c r="Y54" i="1" s="1"/>
  <c r="W32" i="1"/>
  <c r="W20" i="1"/>
  <c r="Y20" i="1" s="1"/>
  <c r="L52" i="1"/>
  <c r="T53" i="1" s="1"/>
  <c r="N14" i="1"/>
  <c r="V15" i="1" s="1"/>
  <c r="X29" i="1"/>
  <c r="U53" i="1"/>
  <c r="W56" i="1"/>
  <c r="W38" i="1"/>
  <c r="X47" i="1"/>
  <c r="X33" i="1"/>
  <c r="X41" i="1"/>
  <c r="V23" i="1"/>
  <c r="W13" i="1"/>
  <c r="W17" i="1"/>
  <c r="X44" i="1"/>
  <c r="L34" i="1"/>
  <c r="T35" i="1" s="1"/>
  <c r="U27" i="1"/>
  <c r="L16" i="1"/>
  <c r="L61" i="1"/>
  <c r="T61" i="1" s="1"/>
  <c r="N8" i="1"/>
  <c r="V9" i="1" s="1"/>
  <c r="U32" i="1"/>
  <c r="V19" i="1"/>
  <c r="X17" i="1"/>
  <c r="X32" i="1"/>
  <c r="S12" i="1"/>
  <c r="U49" i="1"/>
  <c r="X16" i="1"/>
  <c r="S51" i="1"/>
  <c r="X31" i="1"/>
  <c r="W27" i="1"/>
  <c r="T45" i="1"/>
  <c r="N21" i="1"/>
  <c r="T19" i="1"/>
  <c r="V32" i="1"/>
  <c r="W14" i="1"/>
  <c r="X23" i="1"/>
  <c r="T31" i="1"/>
  <c r="U59" i="1"/>
  <c r="T33" i="1"/>
  <c r="W19" i="1"/>
  <c r="W46" i="1"/>
  <c r="X15" i="1"/>
  <c r="U24" i="1"/>
  <c r="V55" i="1"/>
  <c r="T54" i="1"/>
  <c r="V16" i="1"/>
  <c r="H7" i="1"/>
  <c r="I7" i="1"/>
  <c r="G7" i="1"/>
  <c r="J7" i="1"/>
  <c r="U37" i="1"/>
  <c r="U19" i="1"/>
  <c r="V50" i="1"/>
  <c r="U58" i="1"/>
  <c r="V31" i="1"/>
  <c r="U56" i="1"/>
  <c r="U63" i="1"/>
  <c r="V58" i="1"/>
  <c r="S16" i="1"/>
  <c r="S11" i="1"/>
  <c r="S27" i="1"/>
  <c r="S29" i="1"/>
  <c r="U45" i="1"/>
  <c r="U35" i="1"/>
  <c r="U31" i="1"/>
  <c r="T30" i="1"/>
  <c r="V46" i="1"/>
  <c r="T42" i="1"/>
  <c r="T39" i="1"/>
  <c r="U62" i="1"/>
  <c r="V48" i="1"/>
  <c r="V42" i="1"/>
  <c r="T51" i="1"/>
  <c r="T18" i="1"/>
  <c r="V33" i="1"/>
  <c r="U21" i="1"/>
  <c r="T55" i="1"/>
  <c r="T9" i="1"/>
  <c r="V53" i="1"/>
  <c r="U9" i="1"/>
  <c r="S46" i="1"/>
  <c r="S23" i="1"/>
  <c r="S24" i="1"/>
  <c r="O47" i="4" l="1"/>
  <c r="R59" i="4"/>
  <c r="Y62" i="4"/>
  <c r="T46" i="4"/>
  <c r="P45" i="4"/>
  <c r="P49" i="4"/>
  <c r="R13" i="4"/>
  <c r="Y48" i="4"/>
  <c r="AA49" i="4" s="1"/>
  <c r="P61" i="4"/>
  <c r="V36" i="4"/>
  <c r="Y47" i="4"/>
  <c r="AA47" i="4" s="1"/>
  <c r="AA33" i="4"/>
  <c r="Y46" i="4"/>
  <c r="AA46" i="4" s="1"/>
  <c r="T37" i="4"/>
  <c r="Y18" i="4"/>
  <c r="AA18" i="4" s="1"/>
  <c r="Y12" i="4"/>
  <c r="Y15" i="4"/>
  <c r="AA16" i="4" s="1"/>
  <c r="Y45" i="4"/>
  <c r="AA45" i="4" s="1"/>
  <c r="P16" i="4"/>
  <c r="Y60" i="4"/>
  <c r="AA60" i="4" s="1"/>
  <c r="Y42" i="4"/>
  <c r="AA42" i="4" s="1"/>
  <c r="T62" i="4"/>
  <c r="T21" i="4"/>
  <c r="R37" i="4"/>
  <c r="Y38" i="4"/>
  <c r="R22" i="4"/>
  <c r="V19" i="4"/>
  <c r="Y13" i="4"/>
  <c r="V38" i="4"/>
  <c r="U42" i="4"/>
  <c r="U37" i="4"/>
  <c r="P25" i="4"/>
  <c r="Q30" i="4"/>
  <c r="AA11" i="4"/>
  <c r="V29" i="4"/>
  <c r="AA32" i="4"/>
  <c r="V12" i="4"/>
  <c r="Y22" i="4"/>
  <c r="AA22" i="4" s="1"/>
  <c r="Y14" i="4"/>
  <c r="AA14" i="4" s="1"/>
  <c r="Y36" i="4"/>
  <c r="AA36" i="4" s="1"/>
  <c r="AA44" i="4"/>
  <c r="AA61" i="4"/>
  <c r="U18" i="4"/>
  <c r="Q36" i="4"/>
  <c r="P9" i="4"/>
  <c r="AA38" i="4"/>
  <c r="Q17" i="4"/>
  <c r="Y63" i="4"/>
  <c r="AA63" i="4" s="1"/>
  <c r="V56" i="4"/>
  <c r="AA54" i="4"/>
  <c r="T20" i="4"/>
  <c r="Y28" i="4"/>
  <c r="Y23" i="4"/>
  <c r="S27" i="4"/>
  <c r="U13" i="4"/>
  <c r="R43" i="4"/>
  <c r="P27" i="4"/>
  <c r="S29" i="4"/>
  <c r="Y24" i="4"/>
  <c r="AA25" i="4" s="1"/>
  <c r="O12" i="4"/>
  <c r="O29" i="4"/>
  <c r="V40" i="4"/>
  <c r="T10" i="4"/>
  <c r="V10" i="4"/>
  <c r="T36" i="4"/>
  <c r="P37" i="4"/>
  <c r="V51" i="4"/>
  <c r="V34" i="4"/>
  <c r="R53" i="4"/>
  <c r="S40" i="4"/>
  <c r="Y8" i="4"/>
  <c r="AA9" i="4" s="1"/>
  <c r="T58" i="4"/>
  <c r="V45" i="4"/>
  <c r="Y29" i="4"/>
  <c r="AA29" i="4" s="1"/>
  <c r="Y27" i="4"/>
  <c r="T26" i="4"/>
  <c r="V32" i="4"/>
  <c r="V27" i="4"/>
  <c r="S56" i="4"/>
  <c r="R12" i="4"/>
  <c r="V9" i="4"/>
  <c r="V60" i="4"/>
  <c r="V62" i="4"/>
  <c r="Y35" i="4"/>
  <c r="AA35" i="4" s="1"/>
  <c r="S34" i="4"/>
  <c r="O33" i="4"/>
  <c r="Q56" i="4"/>
  <c r="AA58" i="4"/>
  <c r="AA62" i="4"/>
  <c r="AA12" i="4"/>
  <c r="AA34" i="4"/>
  <c r="V17" i="4"/>
  <c r="AA21" i="4"/>
  <c r="R61" i="4"/>
  <c r="S62" i="4"/>
  <c r="AA51" i="4"/>
  <c r="R47" i="4"/>
  <c r="O61" i="4"/>
  <c r="S58" i="4"/>
  <c r="AA20" i="4"/>
  <c r="Q61" i="4"/>
  <c r="S41" i="4"/>
  <c r="O36" i="4"/>
  <c r="V57" i="4"/>
  <c r="R10" i="4"/>
  <c r="R16" i="4"/>
  <c r="O62" i="4"/>
  <c r="O38" i="4"/>
  <c r="R29" i="4"/>
  <c r="S23" i="4"/>
  <c r="V20" i="4"/>
  <c r="W7" i="4"/>
  <c r="Y7" i="4" s="1"/>
  <c r="AA8" i="4" s="1"/>
  <c r="Q12" i="4"/>
  <c r="P62" i="4"/>
  <c r="Y55" i="4"/>
  <c r="AA55" i="4" s="1"/>
  <c r="U30" i="4"/>
  <c r="O34" i="4"/>
  <c r="V28" i="4"/>
  <c r="T63" i="4"/>
  <c r="AA31" i="4"/>
  <c r="V46" i="4"/>
  <c r="O40" i="4"/>
  <c r="V63" i="4"/>
  <c r="Q29" i="4"/>
  <c r="R63" i="4"/>
  <c r="V26" i="4"/>
  <c r="S63" i="4"/>
  <c r="V30" i="4"/>
  <c r="S28" i="4"/>
  <c r="AA17" i="4"/>
  <c r="S14" i="4"/>
  <c r="U19" i="4"/>
  <c r="P26" i="4"/>
  <c r="AA48" i="4"/>
  <c r="S37" i="4"/>
  <c r="AA39" i="4"/>
  <c r="Q18" i="4"/>
  <c r="N7" i="4"/>
  <c r="V8" i="4" s="1"/>
  <c r="S54" i="4"/>
  <c r="R9" i="4"/>
  <c r="V44" i="4"/>
  <c r="O28" i="4"/>
  <c r="AA59" i="4"/>
  <c r="P63" i="4"/>
  <c r="R35" i="4"/>
  <c r="R17" i="4"/>
  <c r="O48" i="4"/>
  <c r="V48" i="4"/>
  <c r="U8" i="4"/>
  <c r="AE3" i="4"/>
  <c r="K7" i="4"/>
  <c r="AC2" i="4" s="1"/>
  <c r="Y52" i="4"/>
  <c r="Y40" i="4"/>
  <c r="AA40" i="4" s="1"/>
  <c r="R56" i="4"/>
  <c r="V21" i="4"/>
  <c r="P7" i="4"/>
  <c r="S30" i="4"/>
  <c r="O52" i="4"/>
  <c r="Q8" i="4"/>
  <c r="V31" i="4"/>
  <c r="O13" i="4"/>
  <c r="R40" i="4"/>
  <c r="O24" i="4"/>
  <c r="O63" i="4"/>
  <c r="V58" i="4"/>
  <c r="Q7" i="4"/>
  <c r="O57" i="4"/>
  <c r="S53" i="4"/>
  <c r="S25" i="4"/>
  <c r="P50" i="4"/>
  <c r="Y26" i="4"/>
  <c r="AA26" i="4" s="1"/>
  <c r="O26" i="4"/>
  <c r="S17" i="4"/>
  <c r="R55" i="4"/>
  <c r="V53" i="4"/>
  <c r="V33" i="4"/>
  <c r="O22" i="4"/>
  <c r="T51" i="4"/>
  <c r="Q41" i="4"/>
  <c r="V50" i="4"/>
  <c r="AA50" i="4"/>
  <c r="S48" i="4"/>
  <c r="S39" i="4"/>
  <c r="Y56" i="4"/>
  <c r="O16" i="4"/>
  <c r="S18" i="4"/>
  <c r="V13" i="4"/>
  <c r="O8" i="4"/>
  <c r="V23" i="4"/>
  <c r="P35" i="4"/>
  <c r="R30" i="4"/>
  <c r="O27" i="4"/>
  <c r="Q23" i="4"/>
  <c r="V24" i="4"/>
  <c r="V18" i="4"/>
  <c r="T27" i="4"/>
  <c r="V11" i="4"/>
  <c r="R38" i="4"/>
  <c r="R19" i="4"/>
  <c r="R25" i="4"/>
  <c r="V39" i="4"/>
  <c r="R18" i="4"/>
  <c r="U62" i="4"/>
  <c r="R49" i="4"/>
  <c r="U9" i="4"/>
  <c r="S42" i="4"/>
  <c r="V52" i="4"/>
  <c r="R27" i="4"/>
  <c r="R32" i="4"/>
  <c r="V41" i="4"/>
  <c r="R51" i="4"/>
  <c r="R62" i="4"/>
  <c r="O55" i="4"/>
  <c r="S35" i="4"/>
  <c r="P47" i="1"/>
  <c r="S58" i="1"/>
  <c r="S25" i="1"/>
  <c r="U50" i="1"/>
  <c r="S38" i="1"/>
  <c r="S61" i="1"/>
  <c r="S35" i="1"/>
  <c r="U25" i="1"/>
  <c r="T41" i="1"/>
  <c r="U42" i="1"/>
  <c r="S13" i="1"/>
  <c r="S53" i="1"/>
  <c r="P21" i="1"/>
  <c r="P37" i="1"/>
  <c r="S52" i="1"/>
  <c r="V63" i="1"/>
  <c r="T16" i="1"/>
  <c r="S21" i="1"/>
  <c r="V29" i="1"/>
  <c r="V11" i="1"/>
  <c r="M7" i="1"/>
  <c r="T24" i="1"/>
  <c r="S31" i="1"/>
  <c r="U30" i="1"/>
  <c r="S36" i="1"/>
  <c r="T28" i="1"/>
  <c r="S43" i="1"/>
  <c r="U15" i="1"/>
  <c r="V10" i="1"/>
  <c r="Y43" i="1"/>
  <c r="AE3" i="1"/>
  <c r="U36" i="1"/>
  <c r="S37" i="1"/>
  <c r="Y40" i="1"/>
  <c r="S32" i="1"/>
  <c r="S60" i="1"/>
  <c r="R37" i="1"/>
  <c r="R27" i="1"/>
  <c r="R24" i="1"/>
  <c r="O45" i="1"/>
  <c r="P61" i="1"/>
  <c r="T63" i="1"/>
  <c r="U54" i="1"/>
  <c r="R14" i="1"/>
  <c r="S41" i="1"/>
  <c r="P12" i="1"/>
  <c r="Y47" i="1"/>
  <c r="S47" i="1"/>
  <c r="R59" i="1"/>
  <c r="P52" i="1"/>
  <c r="N7" i="1"/>
  <c r="V8" i="1" s="1"/>
  <c r="Y58" i="1"/>
  <c r="T56" i="1"/>
  <c r="R39" i="1"/>
  <c r="V21" i="1"/>
  <c r="K7" i="1"/>
  <c r="Y56" i="1"/>
  <c r="Y59" i="1"/>
  <c r="R8" i="1"/>
  <c r="R36" i="1"/>
  <c r="Y36" i="1"/>
  <c r="V40" i="1"/>
  <c r="Y63" i="1"/>
  <c r="Y50" i="1"/>
  <c r="Y51" i="1"/>
  <c r="V59" i="1"/>
  <c r="Y31" i="1"/>
  <c r="V37" i="1"/>
  <c r="Y27" i="1"/>
  <c r="Y62" i="1"/>
  <c r="V13" i="1"/>
  <c r="Y61" i="1"/>
  <c r="Y8" i="1"/>
  <c r="Y18" i="1"/>
  <c r="Y34" i="1"/>
  <c r="Y13" i="1"/>
  <c r="T47" i="1"/>
  <c r="T37" i="1"/>
  <c r="Y15" i="1"/>
  <c r="T25" i="1"/>
  <c r="Y19" i="1"/>
  <c r="Y26" i="1"/>
  <c r="Y45" i="1"/>
  <c r="Y28" i="1"/>
  <c r="Y11" i="1"/>
  <c r="Y41" i="1"/>
  <c r="Y48" i="1"/>
  <c r="Y33" i="1"/>
  <c r="Y44" i="1"/>
  <c r="V22" i="1"/>
  <c r="T34" i="1"/>
  <c r="U55" i="1"/>
  <c r="Y52" i="1"/>
  <c r="Y29" i="1"/>
  <c r="Y25" i="1"/>
  <c r="T26" i="1"/>
  <c r="Y22" i="1"/>
  <c r="T12" i="1"/>
  <c r="Y57" i="1"/>
  <c r="Y14" i="1"/>
  <c r="T11" i="1"/>
  <c r="T62" i="1"/>
  <c r="Y23" i="1"/>
  <c r="T50" i="1"/>
  <c r="Y60" i="1"/>
  <c r="Y46" i="1"/>
  <c r="V41" i="1"/>
  <c r="Y16" i="1"/>
  <c r="Y38" i="1"/>
  <c r="V14" i="1"/>
  <c r="Y32" i="1"/>
  <c r="Y17" i="1"/>
  <c r="S8" i="1"/>
  <c r="W7" i="1"/>
  <c r="Y35" i="1"/>
  <c r="T52" i="1"/>
  <c r="U8" i="1"/>
  <c r="T22" i="1"/>
  <c r="V25" i="1"/>
  <c r="Y42" i="1"/>
  <c r="T17" i="1"/>
  <c r="X7" i="1"/>
  <c r="L7" i="1"/>
  <c r="T8" i="1" s="1"/>
  <c r="AA43" i="4" l="1"/>
  <c r="AA13" i="4"/>
  <c r="AA19" i="4"/>
  <c r="AA56" i="4"/>
  <c r="AA23" i="4"/>
  <c r="AA15" i="4"/>
  <c r="AA27" i="4"/>
  <c r="AA37" i="4"/>
  <c r="AA28" i="4"/>
  <c r="AA24" i="4"/>
  <c r="AA30" i="4"/>
  <c r="AA41" i="4"/>
  <c r="R7" i="4"/>
  <c r="O7" i="4"/>
  <c r="AD5" i="4"/>
  <c r="AD4" i="4"/>
  <c r="AA57" i="4"/>
  <c r="AE5" i="4"/>
  <c r="AE4" i="4"/>
  <c r="S8" i="4"/>
  <c r="AA52" i="4"/>
  <c r="AA53" i="4"/>
  <c r="AF4" i="1"/>
  <c r="AE4" i="1"/>
  <c r="AC4" i="1"/>
  <c r="AC2" i="1"/>
  <c r="Y7" i="1"/>
  <c r="AC4" i="4" l="1"/>
  <c r="AC5" i="4"/>
  <c r="AF5" i="4"/>
  <c r="AF4" i="4"/>
  <c r="AH2" i="4" s="1" a="1"/>
  <c r="AH2" i="4" s="1"/>
  <c r="AD4" i="1"/>
  <c r="AH2" i="1" a="1"/>
  <c r="AH2" i="1" s="1"/>
  <c r="Z24" i="4" l="1" a="1"/>
  <c r="Z24" i="4" s="1"/>
  <c r="Z53" i="4" a="1"/>
  <c r="Z53" i="4" s="1"/>
  <c r="Z54" i="4" a="1"/>
  <c r="Z54" i="4" s="1"/>
  <c r="Z23" i="4" a="1"/>
  <c r="Z23" i="4" s="1"/>
  <c r="Z63" i="4" a="1"/>
  <c r="Z63" i="4" s="1"/>
  <c r="Z56" i="4" a="1"/>
  <c r="Z56" i="4" s="1"/>
  <c r="Z34" i="4" a="1"/>
  <c r="Z34" i="4" s="1"/>
  <c r="Z10" i="4" a="1"/>
  <c r="Z10" i="4" s="1"/>
  <c r="Z26" i="4" a="1"/>
  <c r="Z26" i="4" s="1"/>
  <c r="Z28" i="4" a="1"/>
  <c r="Z28" i="4" s="1"/>
  <c r="Z50" i="4" a="1"/>
  <c r="Z50" i="4" s="1"/>
  <c r="Z32" i="4" a="1"/>
  <c r="Z32" i="4" s="1"/>
  <c r="Z19" i="4" a="1"/>
  <c r="Z19" i="4" s="1"/>
  <c r="Z9" i="4" a="1"/>
  <c r="Z9" i="4" s="1"/>
  <c r="Z62" i="4" a="1"/>
  <c r="Z62" i="4" s="1"/>
  <c r="Z41" i="4" a="1"/>
  <c r="Z41" i="4" s="1"/>
  <c r="Z58" i="4" a="1"/>
  <c r="Z58" i="4" s="1"/>
  <c r="Z14" i="4" a="1"/>
  <c r="Z14" i="4" s="1"/>
  <c r="Z12" i="4" a="1"/>
  <c r="Z12" i="4" s="1"/>
  <c r="Z57" i="4" a="1"/>
  <c r="Z57" i="4" s="1"/>
  <c r="Z42" i="4" a="1"/>
  <c r="Z42" i="4" s="1"/>
  <c r="Z37" i="4" a="1"/>
  <c r="Z37" i="4" s="1"/>
  <c r="Z11" i="4" a="1"/>
  <c r="Z11" i="4" s="1"/>
  <c r="Z16" i="4" a="1"/>
  <c r="Z16" i="4" s="1"/>
  <c r="Z27" i="4" a="1"/>
  <c r="Z27" i="4" s="1"/>
  <c r="Z59" i="4" a="1"/>
  <c r="Z59" i="4" s="1"/>
  <c r="Z36" i="4" a="1"/>
  <c r="Z36" i="4" s="1"/>
  <c r="Z61" i="4" a="1"/>
  <c r="Z61" i="4" s="1"/>
  <c r="Z17" i="4" a="1"/>
  <c r="Z17" i="4" s="1"/>
  <c r="Z38" i="4" a="1"/>
  <c r="Z38" i="4" s="1"/>
  <c r="Z18" i="4" a="1"/>
  <c r="Z18" i="4" s="1"/>
  <c r="Z60" i="4" a="1"/>
  <c r="Z60" i="4" s="1"/>
  <c r="Z29" i="4" a="1"/>
  <c r="Z29" i="4" s="1"/>
  <c r="Z21" i="4" a="1"/>
  <c r="Z21" i="4" s="1"/>
  <c r="Z44" i="4" a="1"/>
  <c r="Z44" i="4" s="1"/>
  <c r="Z55" i="4" a="1"/>
  <c r="Z55" i="4" s="1"/>
  <c r="Z43" i="4" a="1"/>
  <c r="Z43" i="4" s="1"/>
  <c r="Z39" i="4" a="1"/>
  <c r="Z39" i="4" s="1"/>
  <c r="Z45" i="4" a="1"/>
  <c r="Z45" i="4" s="1"/>
  <c r="Z49" i="4" a="1"/>
  <c r="Z49" i="4" s="1"/>
  <c r="Z30" i="4" a="1"/>
  <c r="Z30" i="4" s="1"/>
  <c r="Z52" i="4" a="1"/>
  <c r="Z52" i="4" s="1"/>
  <c r="Z13" i="4" a="1"/>
  <c r="Z13" i="4" s="1"/>
  <c r="Z47" i="4" a="1"/>
  <c r="Z47" i="4" s="1"/>
  <c r="Z46" i="4" a="1"/>
  <c r="Z46" i="4" s="1"/>
  <c r="Z51" i="4" a="1"/>
  <c r="Z51" i="4" s="1"/>
  <c r="Z31" i="4" a="1"/>
  <c r="Z31" i="4" s="1"/>
  <c r="Z48" i="4" a="1"/>
  <c r="Z48" i="4" s="1"/>
  <c r="Z33" i="4" a="1"/>
  <c r="Z33" i="4" s="1"/>
  <c r="Z15" i="4" a="1"/>
  <c r="Z15" i="4" s="1"/>
  <c r="Z35" i="4" a="1"/>
  <c r="Z35" i="4" s="1"/>
  <c r="Z25" i="4" a="1"/>
  <c r="Z25" i="4" s="1"/>
  <c r="Z22" i="4" a="1"/>
  <c r="Z22" i="4" s="1"/>
  <c r="Z20" i="4" a="1"/>
  <c r="Z20" i="4" s="1"/>
  <c r="Z40" i="4" a="1"/>
  <c r="Z40" i="4" s="1"/>
  <c r="Z8" i="4" a="1"/>
  <c r="Z8" i="4" s="1"/>
  <c r="Z45" i="1" a="1"/>
  <c r="Z45" i="1" s="1"/>
  <c r="Z12" i="1" a="1"/>
  <c r="Z12" i="1" s="1"/>
  <c r="Z28" i="1" a="1"/>
  <c r="Z28" i="1" s="1"/>
  <c r="Z11" i="1" a="1"/>
  <c r="Z11" i="1" s="1"/>
  <c r="Z30" i="1" a="1"/>
  <c r="Z30" i="1" s="1"/>
  <c r="Z15" i="1" a="1"/>
  <c r="Z15" i="1" s="1"/>
  <c r="Z40" i="1" a="1"/>
  <c r="Z40" i="1" s="1"/>
  <c r="Z49" i="1" a="1"/>
  <c r="Z49" i="1" s="1"/>
  <c r="Z63" i="1" a="1"/>
  <c r="Z63" i="1" s="1"/>
  <c r="Z20" i="1" a="1"/>
  <c r="Z20" i="1" s="1"/>
  <c r="Z44" i="1" a="1"/>
  <c r="Z44" i="1" s="1"/>
  <c r="Z42" i="1" a="1"/>
  <c r="Z42" i="1" s="1"/>
  <c r="Z27" i="1" a="1"/>
  <c r="Z27" i="1" s="1"/>
  <c r="Z24" i="1" a="1"/>
  <c r="Z24" i="1" s="1"/>
  <c r="Z26" i="1" a="1"/>
  <c r="Z26" i="1" s="1"/>
  <c r="Z19" i="1" a="1"/>
  <c r="Z19" i="1" s="1"/>
  <c r="Z55" i="1" a="1"/>
  <c r="Z55" i="1" s="1"/>
  <c r="Z29" i="1" a="1"/>
  <c r="Z29" i="1" s="1"/>
  <c r="Z62" i="1" a="1"/>
  <c r="Z62" i="1" s="1"/>
  <c r="Z17" i="1" a="1"/>
  <c r="Z17" i="1" s="1"/>
  <c r="Z18" i="1" a="1"/>
  <c r="Z18" i="1" s="1"/>
  <c r="Z14" i="1" a="1"/>
  <c r="Z14" i="1" s="1"/>
  <c r="Z33" i="1" a="1"/>
  <c r="Z33" i="1" s="1"/>
  <c r="Z10" i="1" a="1"/>
  <c r="Z10" i="1" s="1"/>
  <c r="Z46" i="1" a="1"/>
  <c r="Z46" i="1" s="1"/>
  <c r="Z39" i="1" a="1"/>
  <c r="Z39" i="1" s="1"/>
  <c r="Z9" i="1" a="1"/>
  <c r="Z9" i="1" s="1"/>
  <c r="Z48" i="1" a="1"/>
  <c r="Z48" i="1" s="1"/>
  <c r="Z34" i="1" a="1"/>
  <c r="Z34" i="1" s="1"/>
  <c r="Z22" i="1" a="1"/>
  <c r="Z22" i="1" s="1"/>
  <c r="Z54" i="1" a="1"/>
  <c r="Z54" i="1" s="1"/>
  <c r="Z59" i="1" a="1"/>
  <c r="Z59" i="1" s="1"/>
  <c r="Z56" i="1" a="1"/>
  <c r="Z56" i="1" s="1"/>
  <c r="Z57" i="1" a="1"/>
  <c r="Z57" i="1" s="1"/>
  <c r="Z23" i="1" a="1"/>
  <c r="Z23" i="1" s="1"/>
  <c r="Z51" i="1" a="1"/>
  <c r="Z51" i="1" s="1"/>
  <c r="Z16" i="1" a="1"/>
  <c r="Z16" i="1" s="1"/>
  <c r="Z50" i="1" a="1"/>
  <c r="Z50" i="1" s="1"/>
  <c r="Z37" i="1" a="1"/>
  <c r="Z37" i="1" s="1"/>
  <c r="Z60" i="1" a="1"/>
  <c r="Z60" i="1" s="1"/>
  <c r="Z52" i="1" a="1"/>
  <c r="Z52" i="1" s="1"/>
  <c r="Z43" i="1" a="1"/>
  <c r="Z43" i="1" s="1"/>
  <c r="Z8" i="1" a="1"/>
  <c r="Z8" i="1" s="1"/>
  <c r="Z41" i="1" a="1"/>
  <c r="Z41" i="1" s="1"/>
  <c r="Z32" i="1" a="1"/>
  <c r="Z32" i="1" s="1"/>
  <c r="Z53" i="1" a="1"/>
  <c r="Z53" i="1" s="1"/>
  <c r="Z31" i="1" a="1"/>
  <c r="Z31" i="1" s="1"/>
  <c r="Z21" i="1" a="1"/>
  <c r="Z21" i="1" s="1"/>
  <c r="Z35" i="1" a="1"/>
  <c r="Z35" i="1" s="1"/>
  <c r="Z38" i="1" a="1"/>
  <c r="Z38" i="1" s="1"/>
  <c r="Z36" i="1" a="1"/>
  <c r="Z36" i="1" s="1"/>
  <c r="Z61" i="1" a="1"/>
  <c r="Z61" i="1" s="1"/>
  <c r="Z58" i="1" a="1"/>
  <c r="Z58" i="1" s="1"/>
  <c r="Z47" i="1" a="1"/>
  <c r="Z47" i="1" s="1"/>
  <c r="Z13" i="1" a="1"/>
  <c r="Z13" i="1" s="1"/>
  <c r="Z25" i="1" a="1"/>
  <c r="Z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<sst xmlns="http://schemas.openxmlformats.org/spreadsheetml/2006/main" count="2614" uniqueCount="50">
  <si>
    <t>ODF27 Comdty</t>
  </si>
  <si>
    <t>ODF28 Comdty</t>
  </si>
  <si>
    <t>ODF31 Comdty</t>
  </si>
  <si>
    <t>ODF35 Comdty</t>
  </si>
  <si>
    <t>Start Date</t>
  </si>
  <si>
    <t>End Date</t>
  </si>
  <si>
    <t>Dates</t>
  </si>
  <si>
    <t>Maturity</t>
  </si>
  <si>
    <t>BZDIOVER Index</t>
  </si>
  <si>
    <t>DU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</si>
  <si>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</si>
  <si>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</si>
  <si>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</si>
  <si>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</si>
  <si>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</si>
  <si>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</si>
  <si>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</si>
  <si>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</si>
  <si>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</si>
  <si>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</si>
  <si>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</si>
  <si>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</si>
  <si>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</si>
  <si>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</si>
  <si>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</si>
  <si>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</si>
  <si>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</si>
  <si>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</si>
  <si>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</si>
  <si>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</si>
  <si>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</si>
  <si>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</si>
  <si>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</si>
  <si>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</si>
  <si>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</si>
  <si>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</si>
  <si>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</si>
  <si>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</si>
  <si>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CDI</t>
  </si>
  <si>
    <t>PU</t>
  </si>
  <si>
    <t>PnL</t>
  </si>
  <si>
    <t>FRA Spread</t>
  </si>
  <si>
    <t>FRA 1y1y</t>
  </si>
  <si>
    <t>FRA 5y5y</t>
  </si>
  <si>
    <t>Spread</t>
  </si>
  <si>
    <t>Q</t>
  </si>
  <si>
    <t>DV01</t>
  </si>
  <si>
    <t>Spread PnL</t>
  </si>
  <si>
    <t>Spread Change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</si>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</sst>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23"/>
      </right>
      <top style="medium">
        <color indexed="23"/>
      </top>
      <bottom style="medium">
        <color indexed="23"/>
      </bottom>
      <diagonal/>
    </border>
    <border>
      <left/>
      <right style="medium">
        <color indexed="55"/>
      </right>
      <top style="medium">
        <color indexed="23"/>
      </top>
      <bottom style="medium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2" borderId="1" xfId="1" applyFont="1" applyFill="1" applyBorder="1" applyAlignment="1">
      <alignment horizontal="right" wrapText="1"/>
    </xf>
    <xf numFmtId="0" fontId="5" fillId="2" borderId="2" xfId="1" applyFont="1" applyFill="1" applyBorder="1" applyAlignment="1">
      <alignment horizontal="left" wrapText="1"/>
    </xf>
    <xf numFmtId="0" fontId="5" fillId="2" borderId="3" xfId="1" applyFont="1" applyFill="1" applyBorder="1" applyAlignment="1">
      <alignment horizontal="left" wrapText="1"/>
    </xf>
    <xf numFmtId="0" fontId="4" fillId="0" borderId="0" xfId="1"/>
    <xf numFmtId="14" fontId="1" fillId="3" borderId="0" xfId="2" applyNumberFormat="1" applyFill="1" applyAlignment="1">
      <alignment horizontal="right"/>
    </xf>
    <xf numFmtId="0" fontId="1" fillId="3" borderId="0" xfId="2" applyFill="1"/>
    <xf numFmtId="14" fontId="1" fillId="0" borderId="0" xfId="2" applyNumberFormat="1" applyAlignment="1">
      <alignment horizontal="right"/>
    </xf>
    <xf numFmtId="0" fontId="1" fillId="0" borderId="0" xfId="2"/>
    <xf numFmtId="14" fontId="4" fillId="0" borderId="0" xfId="1" applyNumberFormat="1"/>
    <xf numFmtId="0" fontId="5" fillId="0" borderId="0" xfId="1" applyFont="1" applyAlignment="1">
      <alignment horizontal="left"/>
    </xf>
    <xf numFmtId="0" fontId="4" fillId="0" borderId="0" xfId="1" applyAlignment="1">
      <alignment horizontal="left"/>
    </xf>
    <xf numFmtId="0" fontId="6" fillId="0" borderId="0" xfId="1" applyFont="1" applyAlignment="1">
      <alignment horizontal="left"/>
    </xf>
    <xf numFmtId="0" fontId="4" fillId="0" borderId="0" xfId="1" applyAlignment="1">
      <alignment horizontal="right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</cellXfs>
  <cellStyles count="3">
    <cellStyle name="Normal" xfId="0" builtinId="0"/>
    <cellStyle name="Normal 2" xfId="1" xr:uid="{4809F077-4C57-4587-9C47-586E596470B3}"/>
    <cellStyle name="Normal 3" xfId="2" xr:uid="{A60C0AF2-2CB4-477B-BAF3-94E1F85120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BDH|13740956839942259006</stp>
        <tr r="D7" s="1"/>
      </tp>
    </main>
    <main first="bloomberg.rtd">
      <tp t="e">
        <v>#N/A</v>
        <stp/>
        <stp>##V3_BFIELDINFOV12</stp>
        <stp>[DI FRA Spread.xlsx]BBG!R6C5</stp>
        <stp>PX_LAST</stp>
        <tr r="E6" s="1"/>
      </tp>
      <tp t="e">
        <v>#N/A</v>
        <stp/>
        <stp>##V3_BFIELDINFOV12</stp>
        <stp>[DI FRA Spread.xlsx]BBG!R6C4</stp>
        <stp>PX_LAST</stp>
        <tr r="D6" s="1"/>
      </tp>
      <tp t="e">
        <v>#N/A</v>
        <stp/>
        <stp>##V3_BFIELDINFOV12</stp>
        <stp>[DI FRA Spread.xlsx]BBG!R6C3</stp>
        <stp>PX_LAST</stp>
        <tr r="C6" s="1"/>
      </tp>
      <tp t="e">
        <v>#N/A</v>
        <stp/>
        <stp>##V3_BFIELDINFOV12</stp>
        <stp>[DI FRA Spread.xlsx]BBG!R6C2</stp>
        <stp>PX_LAST</stp>
        <tr r="B6" s="1"/>
      </tp>
    </main>
    <main first="bofaddin.rtdserver">
      <tp t="e">
        <v>#N/A</v>
        <stp/>
        <stp>BDH|1183106764597820532</stp>
        <tr r="A7" s="1"/>
      </tp>
      <tp t="e">
        <v>#N/A</v>
        <stp/>
        <stp>BDH|1642660366170390554</stp>
        <tr r="F7" s="1"/>
      </tp>
      <tp t="e">
        <v>#N/A</v>
        <stp/>
        <stp>BDH|5380044574780747151</stp>
        <tr r="C7" s="1"/>
      </tp>
      <tp t="e">
        <v>#N/A</v>
        <stp/>
        <stp>BDH|650953859027163675</stp>
        <tr r="E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volatileDependencies" Target="volatileDependenci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BBG!$W$6</c:f>
              <c:strCache>
                <c:ptCount val="1"/>
                <c:pt idx="0">
                  <c:v>FRA 1y1y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BBG!$A$7:$A$63</c:f>
              <c:numCache>
                <c:formatCode>m/d/yyyy</c:formatCode>
                <c:ptCount val="5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</c:numCache>
            </c:numRef>
          </c:cat>
          <c:val>
            <c:numRef>
              <c:f>BBG!$W$7:$W$63</c:f>
              <c:numCache>
                <c:formatCode>0.00</c:formatCode>
                <c:ptCount val="57"/>
                <c:pt idx="0">
                  <c:v>12.54857948678838</c:v>
                </c:pt>
                <c:pt idx="1">
                  <c:v>12.391063802940172</c:v>
                </c:pt>
                <c:pt idx="2">
                  <c:v>12.301743817127253</c:v>
                </c:pt>
                <c:pt idx="3">
                  <c:v>12.262522150073686</c:v>
                </c:pt>
                <c:pt idx="4">
                  <c:v>12.298222265785519</c:v>
                </c:pt>
                <c:pt idx="5">
                  <c:v>12.324175638337032</c:v>
                </c:pt>
                <c:pt idx="6">
                  <c:v>12.400373455113911</c:v>
                </c:pt>
                <c:pt idx="7">
                  <c:v>12.330246711947535</c:v>
                </c:pt>
                <c:pt idx="8">
                  <c:v>12.274469567408829</c:v>
                </c:pt>
                <c:pt idx="9">
                  <c:v>12.38363456153715</c:v>
                </c:pt>
                <c:pt idx="10">
                  <c:v>12.45383427056932</c:v>
                </c:pt>
                <c:pt idx="11">
                  <c:v>12.628086795513438</c:v>
                </c:pt>
                <c:pt idx="12">
                  <c:v>12.553356609900046</c:v>
                </c:pt>
                <c:pt idx="13">
                  <c:v>12.632435631883588</c:v>
                </c:pt>
                <c:pt idx="14">
                  <c:v>12.502812166664224</c:v>
                </c:pt>
                <c:pt idx="15">
                  <c:v>12.397735002043175</c:v>
                </c:pt>
                <c:pt idx="16">
                  <c:v>12.363819864455582</c:v>
                </c:pt>
                <c:pt idx="17">
                  <c:v>12.324636949635593</c:v>
                </c:pt>
                <c:pt idx="18">
                  <c:v>12.208213813546799</c:v>
                </c:pt>
                <c:pt idx="19">
                  <c:v>12.111136041938009</c:v>
                </c:pt>
                <c:pt idx="20">
                  <c:v>11.962308998688354</c:v>
                </c:pt>
                <c:pt idx="21">
                  <c:v>11.992745872711597</c:v>
                </c:pt>
                <c:pt idx="22">
                  <c:v>12.050890022577088</c:v>
                </c:pt>
                <c:pt idx="23">
                  <c:v>11.960235248731067</c:v>
                </c:pt>
                <c:pt idx="24">
                  <c:v>12.066520754616029</c:v>
                </c:pt>
                <c:pt idx="25">
                  <c:v>12.041439810593847</c:v>
                </c:pt>
                <c:pt idx="26">
                  <c:v>12.056888232823869</c:v>
                </c:pt>
                <c:pt idx="27">
                  <c:v>12.006789443881448</c:v>
                </c:pt>
                <c:pt idx="28">
                  <c:v>12.076724201287202</c:v>
                </c:pt>
                <c:pt idx="29">
                  <c:v>12.039337414771744</c:v>
                </c:pt>
                <c:pt idx="30">
                  <c:v>12.043340668452785</c:v>
                </c:pt>
                <c:pt idx="31">
                  <c:v>12.022088477256565</c:v>
                </c:pt>
                <c:pt idx="32">
                  <c:v>12.024834149546582</c:v>
                </c:pt>
                <c:pt idx="33">
                  <c:v>12.024834149546582</c:v>
                </c:pt>
                <c:pt idx="34">
                  <c:v>11.97724106503799</c:v>
                </c:pt>
                <c:pt idx="35">
                  <c:v>12.018999088292247</c:v>
                </c:pt>
                <c:pt idx="36">
                  <c:v>11.937717753234821</c:v>
                </c:pt>
                <c:pt idx="37">
                  <c:v>11.923680179045327</c:v>
                </c:pt>
                <c:pt idx="38">
                  <c:v>11.909807823714157</c:v>
                </c:pt>
                <c:pt idx="39">
                  <c:v>11.941854603196722</c:v>
                </c:pt>
                <c:pt idx="40">
                  <c:v>11.891798605763015</c:v>
                </c:pt>
                <c:pt idx="41">
                  <c:v>12.058502525729708</c:v>
                </c:pt>
                <c:pt idx="42">
                  <c:v>12.17885200842721</c:v>
                </c:pt>
                <c:pt idx="43">
                  <c:v>12.390314864690088</c:v>
                </c:pt>
                <c:pt idx="44">
                  <c:v>12.279630335466818</c:v>
                </c:pt>
                <c:pt idx="45">
                  <c:v>12.539500244472368</c:v>
                </c:pt>
                <c:pt idx="46">
                  <c:v>12.771055915157014</c:v>
                </c:pt>
                <c:pt idx="47">
                  <c:v>12.879523842148766</c:v>
                </c:pt>
                <c:pt idx="48">
                  <c:v>12.577425146580667</c:v>
                </c:pt>
                <c:pt idx="49">
                  <c:v>12.706568698155341</c:v>
                </c:pt>
                <c:pt idx="50">
                  <c:v>12.995238043390422</c:v>
                </c:pt>
                <c:pt idx="51">
                  <c:v>13.506461573153249</c:v>
                </c:pt>
                <c:pt idx="52">
                  <c:v>13.182534605651842</c:v>
                </c:pt>
                <c:pt idx="53">
                  <c:v>13.286369387142027</c:v>
                </c:pt>
                <c:pt idx="54">
                  <c:v>13.352806197635857</c:v>
                </c:pt>
                <c:pt idx="55">
                  <c:v>13.243527949494084</c:v>
                </c:pt>
                <c:pt idx="56">
                  <c:v>13.877940078513863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0-4CBC-BA62-16EFE92F12C5}"/>
            </c:ext>
          </c:extLst>
        </c:ser>
        <c:ser>
          <c:idx val="1"/>
          <c:order val="1"/>
          <c:tx>
            <c:strRef>
              <c:f>BBG!$X$6</c:f>
              <c:strCache>
                <c:ptCount val="1"/>
                <c:pt idx="0">
                  <c:v>FRA 5y5y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BBG!$A$7:$A$63</c:f>
              <c:numCache>
                <c:formatCode>m/d/yyyy</c:formatCode>
                <c:ptCount val="5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</c:numCache>
            </c:numRef>
          </c:cat>
          <c:val>
            <c:numRef>
              <c:f>BBG!$X$7:$X$63</c:f>
              <c:numCache>
                <c:formatCode>0.00</c:formatCode>
                <c:ptCount val="57"/>
                <c:pt idx="0">
                  <c:v>13.709888577511853</c:v>
                </c:pt>
                <c:pt idx="1">
                  <c:v>13.554393097677764</c:v>
                </c:pt>
                <c:pt idx="2">
                  <c:v>13.683142961280147</c:v>
                </c:pt>
                <c:pt idx="3">
                  <c:v>13.765387685223462</c:v>
                </c:pt>
                <c:pt idx="4">
                  <c:v>13.843142603998349</c:v>
                </c:pt>
                <c:pt idx="5">
                  <c:v>13.787948869671851</c:v>
                </c:pt>
                <c:pt idx="6">
                  <c:v>13.779605706824283</c:v>
                </c:pt>
                <c:pt idx="7">
                  <c:v>13.721637739257698</c:v>
                </c:pt>
                <c:pt idx="8">
                  <c:v>13.831137308216901</c:v>
                </c:pt>
                <c:pt idx="9">
                  <c:v>13.827309260365194</c:v>
                </c:pt>
                <c:pt idx="10">
                  <c:v>13.848883279476286</c:v>
                </c:pt>
                <c:pt idx="11">
                  <c:v>13.997631643080899</c:v>
                </c:pt>
                <c:pt idx="12">
                  <c:v>13.985092312382474</c:v>
                </c:pt>
                <c:pt idx="13">
                  <c:v>14.092017337909969</c:v>
                </c:pt>
                <c:pt idx="14">
                  <c:v>14.014403751693894</c:v>
                </c:pt>
                <c:pt idx="15">
                  <c:v>13.958346398903455</c:v>
                </c:pt>
                <c:pt idx="16">
                  <c:v>13.879555151944366</c:v>
                </c:pt>
                <c:pt idx="17">
                  <c:v>13.832791310876091</c:v>
                </c:pt>
                <c:pt idx="18">
                  <c:v>13.639814796359563</c:v>
                </c:pt>
                <c:pt idx="19">
                  <c:v>13.62832023961249</c:v>
                </c:pt>
                <c:pt idx="20">
                  <c:v>13.622427335363163</c:v>
                </c:pt>
                <c:pt idx="21">
                  <c:v>13.626862930287164</c:v>
                </c:pt>
                <c:pt idx="22">
                  <c:v>13.749676603662063</c:v>
                </c:pt>
                <c:pt idx="23">
                  <c:v>13.699015352784794</c:v>
                </c:pt>
                <c:pt idx="24">
                  <c:v>13.782423510929597</c:v>
                </c:pt>
                <c:pt idx="25">
                  <c:v>13.800880852045317</c:v>
                </c:pt>
                <c:pt idx="26">
                  <c:v>13.892594635827326</c:v>
                </c:pt>
                <c:pt idx="27">
                  <c:v>13.838458642464868</c:v>
                </c:pt>
                <c:pt idx="28">
                  <c:v>13.832609194254575</c:v>
                </c:pt>
                <c:pt idx="29">
                  <c:v>13.913502870381489</c:v>
                </c:pt>
                <c:pt idx="30">
                  <c:v>13.845124701160461</c:v>
                </c:pt>
                <c:pt idx="31">
                  <c:v>13.774790453539998</c:v>
                </c:pt>
                <c:pt idx="32">
                  <c:v>13.774484958261857</c:v>
                </c:pt>
                <c:pt idx="33">
                  <c:v>13.774484958261857</c:v>
                </c:pt>
                <c:pt idx="34">
                  <c:v>13.698270535040379</c:v>
                </c:pt>
                <c:pt idx="35">
                  <c:v>13.832490935031849</c:v>
                </c:pt>
                <c:pt idx="36">
                  <c:v>13.78969354554409</c:v>
                </c:pt>
                <c:pt idx="37">
                  <c:v>13.813770913662093</c:v>
                </c:pt>
                <c:pt idx="38">
                  <c:v>13.744365722336838</c:v>
                </c:pt>
                <c:pt idx="39">
                  <c:v>13.67282509005161</c:v>
                </c:pt>
                <c:pt idx="40">
                  <c:v>13.689482736907399</c:v>
                </c:pt>
                <c:pt idx="41">
                  <c:v>13.664274556990573</c:v>
                </c:pt>
                <c:pt idx="42">
                  <c:v>13.719006181493842</c:v>
                </c:pt>
                <c:pt idx="43">
                  <c:v>13.831702190526807</c:v>
                </c:pt>
                <c:pt idx="44">
                  <c:v>13.726258788461166</c:v>
                </c:pt>
                <c:pt idx="45">
                  <c:v>13.95972844645299</c:v>
                </c:pt>
                <c:pt idx="46">
                  <c:v>14.10539458877842</c:v>
                </c:pt>
                <c:pt idx="47">
                  <c:v>14.040600625336076</c:v>
                </c:pt>
                <c:pt idx="48">
                  <c:v>13.911062468937963</c:v>
                </c:pt>
                <c:pt idx="49">
                  <c:v>13.870268969319731</c:v>
                </c:pt>
                <c:pt idx="50">
                  <c:v>13.996371912406346</c:v>
                </c:pt>
                <c:pt idx="51">
                  <c:v>14.207708263068032</c:v>
                </c:pt>
                <c:pt idx="52">
                  <c:v>13.862244594796946</c:v>
                </c:pt>
                <c:pt idx="53">
                  <c:v>13.858480625835767</c:v>
                </c:pt>
                <c:pt idx="54">
                  <c:v>13.924842861724485</c:v>
                </c:pt>
                <c:pt idx="55">
                  <c:v>13.882283563724451</c:v>
                </c:pt>
                <c:pt idx="56">
                  <c:v>14.021364171131466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0-4CBC-BA62-16EFE92F1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968144"/>
        <c:axId val="1528969104"/>
      </c:lineChart>
      <c:dateAx>
        <c:axId val="152896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69104"/>
        <c:crosses val="autoZero"/>
        <c:auto val="1"/>
        <c:lblOffset val="100"/>
        <c:baseTimeUnit val="days"/>
      </c:dateAx>
      <c:valAx>
        <c:axId val="15289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6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BBG!$Y$6</c:f>
              <c:strCache>
                <c:ptCount val="1"/>
                <c:pt idx="0">
                  <c:v>Spread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BBG!$A$7:$A$63</c:f>
              <c:numCache>
                <c:formatCode>m/d/yyyy</c:formatCode>
                <c:ptCount val="5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</c:numCache>
            </c:numRef>
          </c:cat>
          <c:val>
            <c:numRef>
              <c:f>BBG!$Y$7:$Y$63</c:f>
              <c:numCache>
                <c:formatCode>0.00</c:formatCode>
                <c:ptCount val="57"/>
                <c:pt idx="0">
                  <c:v>-1.1613090907234724</c:v>
                </c:pt>
                <c:pt idx="1">
                  <c:v>-1.1633292947375917</c:v>
                </c:pt>
                <c:pt idx="2">
                  <c:v>-1.3813991441528941</c:v>
                </c:pt>
                <c:pt idx="3">
                  <c:v>-1.5028655351497768</c:v>
                </c:pt>
                <c:pt idx="4">
                  <c:v>-1.5449203382128296</c:v>
                </c:pt>
                <c:pt idx="5">
                  <c:v>-1.4637732313348195</c:v>
                </c:pt>
                <c:pt idx="6">
                  <c:v>-1.3792322517103717</c:v>
                </c:pt>
                <c:pt idx="7">
                  <c:v>-1.3913910273101635</c:v>
                </c:pt>
                <c:pt idx="8">
                  <c:v>-1.5566677408080718</c:v>
                </c:pt>
                <c:pt idx="9">
                  <c:v>-1.443674698828044</c:v>
                </c:pt>
                <c:pt idx="10">
                  <c:v>-1.395049008906966</c:v>
                </c:pt>
                <c:pt idx="11">
                  <c:v>-1.369544847567461</c:v>
                </c:pt>
                <c:pt idx="12">
                  <c:v>-1.4317357024824275</c:v>
                </c:pt>
                <c:pt idx="13">
                  <c:v>-1.4595817060263805</c:v>
                </c:pt>
                <c:pt idx="14">
                  <c:v>-1.5115915850296702</c:v>
                </c:pt>
                <c:pt idx="15">
                  <c:v>-1.5606113968602795</c:v>
                </c:pt>
                <c:pt idx="16">
                  <c:v>-1.5157352874887842</c:v>
                </c:pt>
                <c:pt idx="17">
                  <c:v>-1.5081543612404982</c:v>
                </c:pt>
                <c:pt idx="18">
                  <c:v>-1.431600982812764</c:v>
                </c:pt>
                <c:pt idx="19">
                  <c:v>-1.5171841976744815</c:v>
                </c:pt>
                <c:pt idx="20">
                  <c:v>-1.6601183366748096</c:v>
                </c:pt>
                <c:pt idx="21">
                  <c:v>-1.6341170575755672</c:v>
                </c:pt>
                <c:pt idx="22">
                  <c:v>-1.6987865810849758</c:v>
                </c:pt>
                <c:pt idx="23">
                  <c:v>-1.7387801040537276</c:v>
                </c:pt>
                <c:pt idx="24">
                  <c:v>-1.715902756313568</c:v>
                </c:pt>
                <c:pt idx="25">
                  <c:v>-1.7594410414514705</c:v>
                </c:pt>
                <c:pt idx="26">
                  <c:v>-1.8357064030034564</c:v>
                </c:pt>
                <c:pt idx="27">
                  <c:v>-1.8316691985834197</c:v>
                </c:pt>
                <c:pt idx="28">
                  <c:v>-1.7558849929673723</c:v>
                </c:pt>
                <c:pt idx="29">
                  <c:v>-1.8741654556097451</c:v>
                </c:pt>
                <c:pt idx="30">
                  <c:v>-1.8017840327076762</c:v>
                </c:pt>
                <c:pt idx="31">
                  <c:v>-1.7527019762834328</c:v>
                </c:pt>
                <c:pt idx="32">
                  <c:v>-1.7496508087152751</c:v>
                </c:pt>
                <c:pt idx="33">
                  <c:v>-1.7496508087152751</c:v>
                </c:pt>
                <c:pt idx="34">
                  <c:v>-1.7210294700023887</c:v>
                </c:pt>
                <c:pt idx="35">
                  <c:v>-1.813491846739602</c:v>
                </c:pt>
                <c:pt idx="36">
                  <c:v>-1.8519757923092683</c:v>
                </c:pt>
                <c:pt idx="37">
                  <c:v>-1.8900907346167664</c:v>
                </c:pt>
                <c:pt idx="38">
                  <c:v>-1.8345578986226805</c:v>
                </c:pt>
                <c:pt idx="39">
                  <c:v>-1.7309704868548881</c:v>
                </c:pt>
                <c:pt idx="40">
                  <c:v>-1.7976841311443845</c:v>
                </c:pt>
                <c:pt idx="41">
                  <c:v>-1.6057720312608659</c:v>
                </c:pt>
                <c:pt idx="42">
                  <c:v>-1.5401541730666324</c:v>
                </c:pt>
                <c:pt idx="43">
                  <c:v>-1.4413873258367182</c:v>
                </c:pt>
                <c:pt idx="44">
                  <c:v>-1.4466284529943483</c:v>
                </c:pt>
                <c:pt idx="45">
                  <c:v>-1.4202282019806223</c:v>
                </c:pt>
                <c:pt idx="46">
                  <c:v>-1.3343386736214065</c:v>
                </c:pt>
                <c:pt idx="47">
                  <c:v>-1.1610767831873101</c:v>
                </c:pt>
                <c:pt idx="48">
                  <c:v>-1.3336373223572959</c:v>
                </c:pt>
                <c:pt idx="49">
                  <c:v>-1.1637002711643909</c:v>
                </c:pt>
                <c:pt idx="50">
                  <c:v>-1.0011338690159235</c:v>
                </c:pt>
                <c:pt idx="51">
                  <c:v>-0.70124668991478245</c:v>
                </c:pt>
                <c:pt idx="52">
                  <c:v>-0.67970998914510439</c:v>
                </c:pt>
                <c:pt idx="53">
                  <c:v>-0.57211123869373992</c:v>
                </c:pt>
                <c:pt idx="54">
                  <c:v>-0.5720366640886283</c:v>
                </c:pt>
                <c:pt idx="55">
                  <c:v>-0.63875561423036764</c:v>
                </c:pt>
                <c:pt idx="56">
                  <c:v>-0.1434240926176038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47-42B3-82B4-4DD10897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968144"/>
        <c:axId val="1528969104"/>
      </c:lineChart>
      <c:lineChart>
        <c:grouping val="standard"/>
        <c:varyColors val="0"/>
        <c:ser>
          <c:idx val="1"/>
          <c:order val="1"/>
          <c:tx>
            <c:strRef>
              <c:f>BBG!$Z$6</c:f>
              <c:strCache>
                <c:ptCount val="1"/>
                <c:pt idx="0">
                  <c:v>Spread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BBG!$A$7:$A$63</c:f>
              <c:numCache>
                <c:formatCode>m/d/yyyy</c:formatCode>
                <c:ptCount val="5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</c:numCache>
            </c:numRef>
          </c:cat>
          <c:val>
            <c:numRef>
              <c:f>BBG!$Z$7:$Z$63</c:f>
              <c:numCache>
                <c:formatCode>General</c:formatCode>
                <c:ptCount val="57"/>
                <c:pt idx="1">
                  <c:v>-0.24983148049851422</c:v>
                </c:pt>
                <c:pt idx="2">
                  <c:v>-78.265250814662977</c:v>
                </c:pt>
                <c:pt idx="3">
                  <c:v>-43.555026113711776</c:v>
                </c:pt>
                <c:pt idx="4">
                  <c:v>-14.965770281734244</c:v>
                </c:pt>
                <c:pt idx="5">
                  <c:v>28.908145932442654</c:v>
                </c:pt>
                <c:pt idx="6">
                  <c:v>30.37304280377969</c:v>
                </c:pt>
                <c:pt idx="7">
                  <c:v>-4.3956539163025141</c:v>
                </c:pt>
                <c:pt idx="8">
                  <c:v>-59.357476534256975</c:v>
                </c:pt>
                <c:pt idx="9">
                  <c:v>40.639911996335996</c:v>
                </c:pt>
                <c:pt idx="10">
                  <c:v>17.492103625657364</c:v>
                </c:pt>
                <c:pt idx="11">
                  <c:v>9.984087597449502</c:v>
                </c:pt>
                <c:pt idx="12">
                  <c:v>-22.352908090284398</c:v>
                </c:pt>
                <c:pt idx="13">
                  <c:v>-8.9100173328918686</c:v>
                </c:pt>
                <c:pt idx="14">
                  <c:v>-19.610296054336246</c:v>
                </c:pt>
                <c:pt idx="15">
                  <c:v>-18.115421100516549</c:v>
                </c:pt>
                <c:pt idx="16">
                  <c:v>15.774480097751479</c:v>
                </c:pt>
                <c:pt idx="17">
                  <c:v>2.5089672119740456</c:v>
                </c:pt>
                <c:pt idx="18">
                  <c:v>27.688665002269701</c:v>
                </c:pt>
                <c:pt idx="19">
                  <c:v>-30.931306180030955</c:v>
                </c:pt>
                <c:pt idx="20">
                  <c:v>-51.829182465495087</c:v>
                </c:pt>
                <c:pt idx="21">
                  <c:v>9.4041190424441616</c:v>
                </c:pt>
                <c:pt idx="22">
                  <c:v>-23.765738363713638</c:v>
                </c:pt>
                <c:pt idx="23">
                  <c:v>-14.566030182580846</c:v>
                </c:pt>
                <c:pt idx="24">
                  <c:v>8.2912529163353952</c:v>
                </c:pt>
                <c:pt idx="25">
                  <c:v>-15.891308200865673</c:v>
                </c:pt>
                <c:pt idx="26">
                  <c:v>-27.575014361062326</c:v>
                </c:pt>
                <c:pt idx="27">
                  <c:v>1.0808662355725787</c:v>
                </c:pt>
                <c:pt idx="28">
                  <c:v>27.799829901278343</c:v>
                </c:pt>
                <c:pt idx="29">
                  <c:v>-43.059941852749603</c:v>
                </c:pt>
                <c:pt idx="30">
                  <c:v>26.220568012095491</c:v>
                </c:pt>
                <c:pt idx="31">
                  <c:v>17.909870791096704</c:v>
                </c:pt>
                <c:pt idx="32">
                  <c:v>1.1292779466801268</c:v>
                </c:pt>
                <c:pt idx="33">
                  <c:v>0.1495976542319335</c:v>
                </c:pt>
                <c:pt idx="34">
                  <c:v>10.664412772261691</c:v>
                </c:pt>
                <c:pt idx="35">
                  <c:v>-33.829702032879098</c:v>
                </c:pt>
                <c:pt idx="36">
                  <c:v>-14.369158898331683</c:v>
                </c:pt>
                <c:pt idx="37">
                  <c:v>-14.0090282161093</c:v>
                </c:pt>
                <c:pt idx="38">
                  <c:v>20.385290257341808</c:v>
                </c:pt>
                <c:pt idx="39">
                  <c:v>38.256017803448749</c:v>
                </c:pt>
                <c:pt idx="40">
                  <c:v>-24.694584269433747</c:v>
                </c:pt>
                <c:pt idx="41">
                  <c:v>70.796120835965084</c:v>
                </c:pt>
                <c:pt idx="42">
                  <c:v>23.960103282142818</c:v>
                </c:pt>
                <c:pt idx="43">
                  <c:v>36.530113059520204</c:v>
                </c:pt>
                <c:pt idx="44">
                  <c:v>-2.081769201878231</c:v>
                </c:pt>
                <c:pt idx="45">
                  <c:v>10.724451374367391</c:v>
                </c:pt>
                <c:pt idx="46">
                  <c:v>32.961595505896014</c:v>
                </c:pt>
                <c:pt idx="47">
                  <c:v>62.229480592716655</c:v>
                </c:pt>
                <c:pt idx="48">
                  <c:v>-64.139284639581263</c:v>
                </c:pt>
                <c:pt idx="49">
                  <c:v>61.885602723061893</c:v>
                </c:pt>
                <c:pt idx="50">
                  <c:v>60.196886953029264</c:v>
                </c:pt>
                <c:pt idx="51">
                  <c:v>110.88730995155424</c:v>
                </c:pt>
                <c:pt idx="52">
                  <c:v>4.2577883925927154</c:v>
                </c:pt>
                <c:pt idx="53">
                  <c:v>38.646899789918045</c:v>
                </c:pt>
                <c:pt idx="54">
                  <c:v>0.4115183245380365</c:v>
                </c:pt>
                <c:pt idx="55">
                  <c:v>-24.225269463655671</c:v>
                </c:pt>
                <c:pt idx="56">
                  <c:v>178.307535593437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47-42B3-82B4-4DD10897C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051919"/>
        <c:axId val="1970051439"/>
      </c:lineChart>
      <c:dateAx>
        <c:axId val="152896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69104"/>
        <c:crosses val="autoZero"/>
        <c:auto val="1"/>
        <c:lblOffset val="100"/>
        <c:baseTimeUnit val="days"/>
      </c:dateAx>
      <c:valAx>
        <c:axId val="15289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68144"/>
        <c:crosses val="autoZero"/>
        <c:crossBetween val="between"/>
      </c:valAx>
      <c:valAx>
        <c:axId val="19700514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051919"/>
        <c:crosses val="max"/>
        <c:crossBetween val="between"/>
      </c:valAx>
      <c:dateAx>
        <c:axId val="197005191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7005143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369313210848639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BBG!$AA$9:$AA$63</c:f>
              <c:numCache>
                <c:formatCode>0.00</c:formatCode>
                <c:ptCount val="55"/>
                <c:pt idx="0">
                  <c:v>-0.21806984941530239</c:v>
                </c:pt>
                <c:pt idx="1">
                  <c:v>-0.12146639099688272</c:v>
                </c:pt>
                <c:pt idx="2">
                  <c:v>-4.2054803063052759E-2</c:v>
                </c:pt>
                <c:pt idx="3">
                  <c:v>8.1147106878010078E-2</c:v>
                </c:pt>
                <c:pt idx="4">
                  <c:v>8.4540979624447843E-2</c:v>
                </c:pt>
                <c:pt idx="5">
                  <c:v>-1.2158775599791838E-2</c:v>
                </c:pt>
                <c:pt idx="6">
                  <c:v>-0.16527671349790829</c:v>
                </c:pt>
                <c:pt idx="7">
                  <c:v>0.1129930419800278</c:v>
                </c:pt>
                <c:pt idx="8">
                  <c:v>4.8625689921077964E-2</c:v>
                </c:pt>
                <c:pt idx="9">
                  <c:v>2.550416133950506E-2</c:v>
                </c:pt>
                <c:pt idx="10">
                  <c:v>-6.2190854914966565E-2</c:v>
                </c:pt>
                <c:pt idx="11">
                  <c:v>-2.7846003543952946E-2</c:v>
                </c:pt>
                <c:pt idx="12">
                  <c:v>-5.2009879003289683E-2</c:v>
                </c:pt>
                <c:pt idx="13">
                  <c:v>-4.9019811830609328E-2</c:v>
                </c:pt>
                <c:pt idx="14">
                  <c:v>4.4876109371495332E-2</c:v>
                </c:pt>
                <c:pt idx="15">
                  <c:v>7.5809262482859907E-3</c:v>
                </c:pt>
                <c:pt idx="16">
                  <c:v>7.6553378427734131E-2</c:v>
                </c:pt>
                <c:pt idx="17">
                  <c:v>-8.5583214861717494E-2</c:v>
                </c:pt>
                <c:pt idx="18">
                  <c:v>-0.14293413900032803</c:v>
                </c:pt>
                <c:pt idx="19">
                  <c:v>2.6001279099242325E-2</c:v>
                </c:pt>
                <c:pt idx="20">
                  <c:v>-6.4669523509408577E-2</c:v>
                </c:pt>
                <c:pt idx="21">
                  <c:v>-3.9993522968751805E-2</c:v>
                </c:pt>
                <c:pt idx="22">
                  <c:v>2.2877347740159593E-2</c:v>
                </c:pt>
                <c:pt idx="23">
                  <c:v>-4.3538285137902477E-2</c:v>
                </c:pt>
                <c:pt idx="24">
                  <c:v>-7.6265361551985933E-2</c:v>
                </c:pt>
                <c:pt idx="25">
                  <c:v>4.0372044200367441E-3</c:v>
                </c:pt>
                <c:pt idx="26">
                  <c:v>7.5784205616047373E-2</c:v>
                </c:pt>
                <c:pt idx="27">
                  <c:v>-0.1182804626423728</c:v>
                </c:pt>
                <c:pt idx="28">
                  <c:v>7.2381422902068948E-2</c:v>
                </c:pt>
                <c:pt idx="29">
                  <c:v>4.9082056424243348E-2</c:v>
                </c:pt>
                <c:pt idx="30">
                  <c:v>3.0511675681577088E-3</c:v>
                </c:pt>
                <c:pt idx="31">
                  <c:v>0</c:v>
                </c:pt>
                <c:pt idx="32">
                  <c:v>2.8621338712886413E-2</c:v>
                </c:pt>
                <c:pt idx="33">
                  <c:v>-9.2462376737213248E-2</c:v>
                </c:pt>
                <c:pt idx="34">
                  <c:v>-3.8483945569666389E-2</c:v>
                </c:pt>
                <c:pt idx="35">
                  <c:v>-3.8114942307498012E-2</c:v>
                </c:pt>
                <c:pt idx="36">
                  <c:v>5.5532835994085872E-2</c:v>
                </c:pt>
                <c:pt idx="37">
                  <c:v>0.1035874117677924</c:v>
                </c:pt>
                <c:pt idx="38">
                  <c:v>-6.6713644289496443E-2</c:v>
                </c:pt>
                <c:pt idx="39">
                  <c:v>0.19191209988351865</c:v>
                </c:pt>
                <c:pt idx="40">
                  <c:v>6.5617858194233492E-2</c:v>
                </c:pt>
                <c:pt idx="41">
                  <c:v>9.8766847229914134E-2</c:v>
                </c:pt>
                <c:pt idx="42">
                  <c:v>-5.2411271576300322E-3</c:v>
                </c:pt>
                <c:pt idx="43">
                  <c:v>2.6400251013726006E-2</c:v>
                </c:pt>
                <c:pt idx="44">
                  <c:v>8.5889528359215817E-2</c:v>
                </c:pt>
                <c:pt idx="45">
                  <c:v>0.17326189043409634</c:v>
                </c:pt>
                <c:pt idx="46">
                  <c:v>-0.17256053916998582</c:v>
                </c:pt>
                <c:pt idx="47">
                  <c:v>0.16993705119290503</c:v>
                </c:pt>
                <c:pt idx="48">
                  <c:v>0.1625664021484674</c:v>
                </c:pt>
                <c:pt idx="49">
                  <c:v>0.29988717910114104</c:v>
                </c:pt>
                <c:pt idx="50">
                  <c:v>2.1536700769678063E-2</c:v>
                </c:pt>
                <c:pt idx="51">
                  <c:v>0.10759875045136447</c:v>
                </c:pt>
                <c:pt idx="52">
                  <c:v>7.4574605111621395E-5</c:v>
                </c:pt>
                <c:pt idx="53">
                  <c:v>-6.6718950141739342E-2</c:v>
                </c:pt>
                <c:pt idx="54">
                  <c:v>0.49533152161276384</c:v>
                </c:pt>
              </c:numCache>
            </c:numRef>
          </c:xVal>
          <c:yVal>
            <c:numRef>
              <c:f>BBG!$Z$9:$Z$63</c:f>
              <c:numCache>
                <c:formatCode>General</c:formatCode>
                <c:ptCount val="55"/>
                <c:pt idx="0">
                  <c:v>-78.265250814662977</c:v>
                </c:pt>
                <c:pt idx="1">
                  <c:v>-43.555026113711776</c:v>
                </c:pt>
                <c:pt idx="2">
                  <c:v>-14.965770281734244</c:v>
                </c:pt>
                <c:pt idx="3">
                  <c:v>28.908145932442654</c:v>
                </c:pt>
                <c:pt idx="4">
                  <c:v>30.37304280377969</c:v>
                </c:pt>
                <c:pt idx="5">
                  <c:v>-4.3956539163025141</c:v>
                </c:pt>
                <c:pt idx="6">
                  <c:v>-59.357476534256975</c:v>
                </c:pt>
                <c:pt idx="7">
                  <c:v>40.639911996335996</c:v>
                </c:pt>
                <c:pt idx="8">
                  <c:v>17.492103625657364</c:v>
                </c:pt>
                <c:pt idx="9">
                  <c:v>9.984087597449502</c:v>
                </c:pt>
                <c:pt idx="10">
                  <c:v>-22.352908090284398</c:v>
                </c:pt>
                <c:pt idx="11">
                  <c:v>-8.9100173328918686</c:v>
                </c:pt>
                <c:pt idx="12">
                  <c:v>-19.610296054336246</c:v>
                </c:pt>
                <c:pt idx="13">
                  <c:v>-18.115421100516549</c:v>
                </c:pt>
                <c:pt idx="14">
                  <c:v>15.774480097751479</c:v>
                </c:pt>
                <c:pt idx="15">
                  <c:v>2.5089672119740456</c:v>
                </c:pt>
                <c:pt idx="16">
                  <c:v>27.688665002269701</c:v>
                </c:pt>
                <c:pt idx="17">
                  <c:v>-30.931306180030955</c:v>
                </c:pt>
                <c:pt idx="18">
                  <c:v>-51.829182465495087</c:v>
                </c:pt>
                <c:pt idx="19">
                  <c:v>9.4041190424441616</c:v>
                </c:pt>
                <c:pt idx="20">
                  <c:v>-23.765738363713638</c:v>
                </c:pt>
                <c:pt idx="21">
                  <c:v>-14.566030182580846</c:v>
                </c:pt>
                <c:pt idx="22">
                  <c:v>8.2912529163353952</c:v>
                </c:pt>
                <c:pt idx="23">
                  <c:v>-15.891308200865673</c:v>
                </c:pt>
                <c:pt idx="24">
                  <c:v>-27.575014361062326</c:v>
                </c:pt>
                <c:pt idx="25">
                  <c:v>1.0808662355725787</c:v>
                </c:pt>
                <c:pt idx="26">
                  <c:v>27.799829901278343</c:v>
                </c:pt>
                <c:pt idx="27">
                  <c:v>-43.059941852749603</c:v>
                </c:pt>
                <c:pt idx="28">
                  <c:v>26.220568012095491</c:v>
                </c:pt>
                <c:pt idx="29">
                  <c:v>17.909870791096704</c:v>
                </c:pt>
                <c:pt idx="30">
                  <c:v>1.1292779466801268</c:v>
                </c:pt>
                <c:pt idx="31">
                  <c:v>0.1495976542319335</c:v>
                </c:pt>
                <c:pt idx="32">
                  <c:v>10.664412772261691</c:v>
                </c:pt>
                <c:pt idx="33">
                  <c:v>-33.829702032879098</c:v>
                </c:pt>
                <c:pt idx="34">
                  <c:v>-14.369158898331683</c:v>
                </c:pt>
                <c:pt idx="35">
                  <c:v>-14.0090282161093</c:v>
                </c:pt>
                <c:pt idx="36">
                  <c:v>20.385290257341808</c:v>
                </c:pt>
                <c:pt idx="37">
                  <c:v>38.256017803448749</c:v>
                </c:pt>
                <c:pt idx="38">
                  <c:v>-24.694584269433747</c:v>
                </c:pt>
                <c:pt idx="39">
                  <c:v>70.796120835965084</c:v>
                </c:pt>
                <c:pt idx="40">
                  <c:v>23.960103282142818</c:v>
                </c:pt>
                <c:pt idx="41">
                  <c:v>36.530113059520204</c:v>
                </c:pt>
                <c:pt idx="42">
                  <c:v>-2.081769201878231</c:v>
                </c:pt>
                <c:pt idx="43">
                  <c:v>10.724451374367391</c:v>
                </c:pt>
                <c:pt idx="44">
                  <c:v>32.961595505896014</c:v>
                </c:pt>
                <c:pt idx="45">
                  <c:v>62.229480592716655</c:v>
                </c:pt>
                <c:pt idx="46">
                  <c:v>-64.139284639581263</c:v>
                </c:pt>
                <c:pt idx="47">
                  <c:v>61.885602723061893</c:v>
                </c:pt>
                <c:pt idx="48">
                  <c:v>60.196886953029264</c:v>
                </c:pt>
                <c:pt idx="49">
                  <c:v>110.88730995155424</c:v>
                </c:pt>
                <c:pt idx="50">
                  <c:v>4.2577883925927154</c:v>
                </c:pt>
                <c:pt idx="51">
                  <c:v>38.646899789918045</c:v>
                </c:pt>
                <c:pt idx="52">
                  <c:v>0.4115183245380365</c:v>
                </c:pt>
                <c:pt idx="53">
                  <c:v>-24.225269463655671</c:v>
                </c:pt>
                <c:pt idx="54">
                  <c:v>178.307535593437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2-4D2B-9B66-E20F97CF6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047823"/>
        <c:axId val="1964044463"/>
      </c:scatterChart>
      <c:valAx>
        <c:axId val="196404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044463"/>
        <c:crosses val="autoZero"/>
        <c:crossBetween val="midCat"/>
      </c:valAx>
      <c:valAx>
        <c:axId val="19640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04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'BBG Valores'!$W$6</c:f>
              <c:strCache>
                <c:ptCount val="1"/>
                <c:pt idx="0">
                  <c:v>FRA 1y1y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'BBG Valores'!$A$7:$A$63</c:f>
              <c:numCache>
                <c:formatCode>m/d/yyyy</c:formatCode>
                <c:ptCount val="5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</c:numCache>
            </c:numRef>
          </c:cat>
          <c:val>
            <c:numRef>
              <c:f>'BBG Valores'!$W$7:$W$63</c:f>
              <c:numCache>
                <c:formatCode>0.00</c:formatCode>
                <c:ptCount val="57"/>
                <c:pt idx="0">
                  <c:v>12.54857948678838</c:v>
                </c:pt>
                <c:pt idx="1">
                  <c:v>12.391063802940172</c:v>
                </c:pt>
                <c:pt idx="2">
                  <c:v>12.301743817127253</c:v>
                </c:pt>
                <c:pt idx="3">
                  <c:v>12.262522150073686</c:v>
                </c:pt>
                <c:pt idx="4">
                  <c:v>12.298222265785519</c:v>
                </c:pt>
                <c:pt idx="5">
                  <c:v>12.324175638337032</c:v>
                </c:pt>
                <c:pt idx="6">
                  <c:v>12.400373455113911</c:v>
                </c:pt>
                <c:pt idx="7">
                  <c:v>12.330246711947535</c:v>
                </c:pt>
                <c:pt idx="8">
                  <c:v>12.274469567408829</c:v>
                </c:pt>
                <c:pt idx="9">
                  <c:v>12.38363456153715</c:v>
                </c:pt>
                <c:pt idx="10">
                  <c:v>12.45383427056932</c:v>
                </c:pt>
                <c:pt idx="11">
                  <c:v>12.628086795513438</c:v>
                </c:pt>
                <c:pt idx="12">
                  <c:v>12.553356609900046</c:v>
                </c:pt>
                <c:pt idx="13">
                  <c:v>12.632435631883588</c:v>
                </c:pt>
                <c:pt idx="14">
                  <c:v>12.502812166664224</c:v>
                </c:pt>
                <c:pt idx="15">
                  <c:v>12.397735002043175</c:v>
                </c:pt>
                <c:pt idx="16">
                  <c:v>12.363819864455582</c:v>
                </c:pt>
                <c:pt idx="17">
                  <c:v>12.324636949635593</c:v>
                </c:pt>
                <c:pt idx="18">
                  <c:v>12.208213813546799</c:v>
                </c:pt>
                <c:pt idx="19">
                  <c:v>12.111136041938009</c:v>
                </c:pt>
                <c:pt idx="20">
                  <c:v>11.962308998688354</c:v>
                </c:pt>
                <c:pt idx="21">
                  <c:v>11.992745872711597</c:v>
                </c:pt>
                <c:pt idx="22">
                  <c:v>12.050890022577088</c:v>
                </c:pt>
                <c:pt idx="23">
                  <c:v>11.960235248731067</c:v>
                </c:pt>
                <c:pt idx="24">
                  <c:v>12.066520754616029</c:v>
                </c:pt>
                <c:pt idx="25">
                  <c:v>12.041439810593847</c:v>
                </c:pt>
                <c:pt idx="26">
                  <c:v>12.056888232823869</c:v>
                </c:pt>
                <c:pt idx="27">
                  <c:v>12.006789443881448</c:v>
                </c:pt>
                <c:pt idx="28">
                  <c:v>12.076724201287202</c:v>
                </c:pt>
                <c:pt idx="29">
                  <c:v>12.039337414771744</c:v>
                </c:pt>
                <c:pt idx="30">
                  <c:v>12.043340668452785</c:v>
                </c:pt>
                <c:pt idx="31">
                  <c:v>12.022088477256565</c:v>
                </c:pt>
                <c:pt idx="32">
                  <c:v>12.024834149546582</c:v>
                </c:pt>
                <c:pt idx="33">
                  <c:v>12.024834149546582</c:v>
                </c:pt>
                <c:pt idx="34">
                  <c:v>11.97724106503799</c:v>
                </c:pt>
                <c:pt idx="35">
                  <c:v>12.018999088292247</c:v>
                </c:pt>
                <c:pt idx="36">
                  <c:v>11.937717753234821</c:v>
                </c:pt>
                <c:pt idx="37">
                  <c:v>11.923680179045327</c:v>
                </c:pt>
                <c:pt idx="38">
                  <c:v>11.909807823714157</c:v>
                </c:pt>
                <c:pt idx="39">
                  <c:v>11.941854603196722</c:v>
                </c:pt>
                <c:pt idx="40">
                  <c:v>11.891798605763015</c:v>
                </c:pt>
                <c:pt idx="41">
                  <c:v>12.058502525729708</c:v>
                </c:pt>
                <c:pt idx="42">
                  <c:v>12.17885200842721</c:v>
                </c:pt>
                <c:pt idx="43">
                  <c:v>12.390314864690088</c:v>
                </c:pt>
                <c:pt idx="44">
                  <c:v>12.279630335466818</c:v>
                </c:pt>
                <c:pt idx="45">
                  <c:v>12.539500244472368</c:v>
                </c:pt>
                <c:pt idx="46">
                  <c:v>12.771055915157014</c:v>
                </c:pt>
                <c:pt idx="47">
                  <c:v>12.879523842148766</c:v>
                </c:pt>
                <c:pt idx="48">
                  <c:v>12.577425146580667</c:v>
                </c:pt>
                <c:pt idx="49">
                  <c:v>12.706568698155341</c:v>
                </c:pt>
                <c:pt idx="50">
                  <c:v>12.995238043390422</c:v>
                </c:pt>
                <c:pt idx="51">
                  <c:v>13.506461573153249</c:v>
                </c:pt>
                <c:pt idx="52">
                  <c:v>13.182534605651842</c:v>
                </c:pt>
                <c:pt idx="53">
                  <c:v>13.286369387142027</c:v>
                </c:pt>
                <c:pt idx="54">
                  <c:v>13.352806197635857</c:v>
                </c:pt>
                <c:pt idx="55">
                  <c:v>13.243527949494084</c:v>
                </c:pt>
                <c:pt idx="56">
                  <c:v>13.984050083755761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C-43DF-8E3D-F959C8AB4046}"/>
            </c:ext>
          </c:extLst>
        </c:ser>
        <c:ser>
          <c:idx val="1"/>
          <c:order val="1"/>
          <c:tx>
            <c:strRef>
              <c:f>'BBG Valores'!$X$6</c:f>
              <c:strCache>
                <c:ptCount val="1"/>
                <c:pt idx="0">
                  <c:v>FRA 5y5y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'BBG Valores'!$A$7:$A$63</c:f>
              <c:numCache>
                <c:formatCode>m/d/yyyy</c:formatCode>
                <c:ptCount val="5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</c:numCache>
            </c:numRef>
          </c:cat>
          <c:val>
            <c:numRef>
              <c:f>'BBG Valores'!$X$7:$X$63</c:f>
              <c:numCache>
                <c:formatCode>0.00</c:formatCode>
                <c:ptCount val="57"/>
                <c:pt idx="0">
                  <c:v>13.709888577511853</c:v>
                </c:pt>
                <c:pt idx="1">
                  <c:v>13.554393097677764</c:v>
                </c:pt>
                <c:pt idx="2">
                  <c:v>13.683142961280147</c:v>
                </c:pt>
                <c:pt idx="3">
                  <c:v>13.765387685223462</c:v>
                </c:pt>
                <c:pt idx="4">
                  <c:v>13.843142603998349</c:v>
                </c:pt>
                <c:pt idx="5">
                  <c:v>13.787948869671851</c:v>
                </c:pt>
                <c:pt idx="6">
                  <c:v>13.779605706824283</c:v>
                </c:pt>
                <c:pt idx="7">
                  <c:v>13.721637739257698</c:v>
                </c:pt>
                <c:pt idx="8">
                  <c:v>13.831137308216901</c:v>
                </c:pt>
                <c:pt idx="9">
                  <c:v>13.827309260365194</c:v>
                </c:pt>
                <c:pt idx="10">
                  <c:v>13.848883279476286</c:v>
                </c:pt>
                <c:pt idx="11">
                  <c:v>13.997631643080899</c:v>
                </c:pt>
                <c:pt idx="12">
                  <c:v>13.985092312382474</c:v>
                </c:pt>
                <c:pt idx="13">
                  <c:v>14.092017337909969</c:v>
                </c:pt>
                <c:pt idx="14">
                  <c:v>14.014403751693894</c:v>
                </c:pt>
                <c:pt idx="15">
                  <c:v>13.958346398903455</c:v>
                </c:pt>
                <c:pt idx="16">
                  <c:v>13.879555151944366</c:v>
                </c:pt>
                <c:pt idx="17">
                  <c:v>13.832791310876091</c:v>
                </c:pt>
                <c:pt idx="18">
                  <c:v>13.639814796359563</c:v>
                </c:pt>
                <c:pt idx="19">
                  <c:v>13.62832023961249</c:v>
                </c:pt>
                <c:pt idx="20">
                  <c:v>13.622427335363163</c:v>
                </c:pt>
                <c:pt idx="21">
                  <c:v>13.626862930287164</c:v>
                </c:pt>
                <c:pt idx="22">
                  <c:v>13.749676603662063</c:v>
                </c:pt>
                <c:pt idx="23">
                  <c:v>13.699015352784794</c:v>
                </c:pt>
                <c:pt idx="24">
                  <c:v>13.782423510929597</c:v>
                </c:pt>
                <c:pt idx="25">
                  <c:v>13.800880852045317</c:v>
                </c:pt>
                <c:pt idx="26">
                  <c:v>13.892594635827326</c:v>
                </c:pt>
                <c:pt idx="27">
                  <c:v>13.838458642464868</c:v>
                </c:pt>
                <c:pt idx="28">
                  <c:v>13.832609194254575</c:v>
                </c:pt>
                <c:pt idx="29">
                  <c:v>13.913502870381489</c:v>
                </c:pt>
                <c:pt idx="30">
                  <c:v>13.845124701160461</c:v>
                </c:pt>
                <c:pt idx="31">
                  <c:v>13.774790453539998</c:v>
                </c:pt>
                <c:pt idx="32">
                  <c:v>13.774484958261857</c:v>
                </c:pt>
                <c:pt idx="33">
                  <c:v>13.774484958261857</c:v>
                </c:pt>
                <c:pt idx="34">
                  <c:v>13.698270535040379</c:v>
                </c:pt>
                <c:pt idx="35">
                  <c:v>13.832490935031849</c:v>
                </c:pt>
                <c:pt idx="36">
                  <c:v>13.78969354554409</c:v>
                </c:pt>
                <c:pt idx="37">
                  <c:v>13.813770913662093</c:v>
                </c:pt>
                <c:pt idx="38">
                  <c:v>13.744365722336838</c:v>
                </c:pt>
                <c:pt idx="39">
                  <c:v>13.67282509005161</c:v>
                </c:pt>
                <c:pt idx="40">
                  <c:v>13.689482736907399</c:v>
                </c:pt>
                <c:pt idx="41">
                  <c:v>13.664274556990573</c:v>
                </c:pt>
                <c:pt idx="42">
                  <c:v>13.719006181493842</c:v>
                </c:pt>
                <c:pt idx="43">
                  <c:v>13.831702190526807</c:v>
                </c:pt>
                <c:pt idx="44">
                  <c:v>13.726258788461166</c:v>
                </c:pt>
                <c:pt idx="45">
                  <c:v>13.95972844645299</c:v>
                </c:pt>
                <c:pt idx="46">
                  <c:v>14.10539458877842</c:v>
                </c:pt>
                <c:pt idx="47">
                  <c:v>14.040600625336076</c:v>
                </c:pt>
                <c:pt idx="48">
                  <c:v>13.911062468937963</c:v>
                </c:pt>
                <c:pt idx="49">
                  <c:v>13.870268969319731</c:v>
                </c:pt>
                <c:pt idx="50">
                  <c:v>13.996371912406346</c:v>
                </c:pt>
                <c:pt idx="51">
                  <c:v>14.207708263068032</c:v>
                </c:pt>
                <c:pt idx="52">
                  <c:v>13.862244594796946</c:v>
                </c:pt>
                <c:pt idx="53">
                  <c:v>13.858480625835767</c:v>
                </c:pt>
                <c:pt idx="54">
                  <c:v>13.924842861724485</c:v>
                </c:pt>
                <c:pt idx="55">
                  <c:v>13.882283563724451</c:v>
                </c:pt>
                <c:pt idx="56">
                  <c:v>13.9806327078698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0C-43DF-8E3D-F959C8AB4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8968144"/>
        <c:axId val="1528969104"/>
      </c:lineChart>
      <c:dateAx>
        <c:axId val="152896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69104"/>
        <c:crosses val="autoZero"/>
        <c:auto val="1"/>
        <c:lblOffset val="100"/>
        <c:baseTimeUnit val="days"/>
      </c:dateAx>
      <c:valAx>
        <c:axId val="15289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6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'BBG Valores'!$Y$6</c:f>
              <c:strCache>
                <c:ptCount val="1"/>
                <c:pt idx="0">
                  <c:v>Spread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'BBG Valores'!$A$7:$A$63</c:f>
              <c:numCache>
                <c:formatCode>m/d/yyyy</c:formatCode>
                <c:ptCount val="5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</c:numCache>
            </c:numRef>
          </c:cat>
          <c:val>
            <c:numRef>
              <c:f>'BBG Valores'!$Y$7:$Y$63</c:f>
              <c:numCache>
                <c:formatCode>0.00</c:formatCode>
                <c:ptCount val="57"/>
                <c:pt idx="0">
                  <c:v>-1.1613090907234724</c:v>
                </c:pt>
                <c:pt idx="1">
                  <c:v>-1.1633292947375917</c:v>
                </c:pt>
                <c:pt idx="2">
                  <c:v>-1.3813991441528941</c:v>
                </c:pt>
                <c:pt idx="3">
                  <c:v>-1.5028655351497768</c:v>
                </c:pt>
                <c:pt idx="4">
                  <c:v>-1.5449203382128296</c:v>
                </c:pt>
                <c:pt idx="5">
                  <c:v>-1.4637732313348195</c:v>
                </c:pt>
                <c:pt idx="6">
                  <c:v>-1.3792322517103717</c:v>
                </c:pt>
                <c:pt idx="7">
                  <c:v>-1.3913910273101635</c:v>
                </c:pt>
                <c:pt idx="8">
                  <c:v>-1.5566677408080718</c:v>
                </c:pt>
                <c:pt idx="9">
                  <c:v>-1.443674698828044</c:v>
                </c:pt>
                <c:pt idx="10">
                  <c:v>-1.395049008906966</c:v>
                </c:pt>
                <c:pt idx="11">
                  <c:v>-1.369544847567461</c:v>
                </c:pt>
                <c:pt idx="12">
                  <c:v>-1.4317357024824275</c:v>
                </c:pt>
                <c:pt idx="13">
                  <c:v>-1.4595817060263805</c:v>
                </c:pt>
                <c:pt idx="14">
                  <c:v>-1.5115915850296702</c:v>
                </c:pt>
                <c:pt idx="15">
                  <c:v>-1.5606113968602795</c:v>
                </c:pt>
                <c:pt idx="16">
                  <c:v>-1.5157352874887842</c:v>
                </c:pt>
                <c:pt idx="17">
                  <c:v>-1.5081543612404982</c:v>
                </c:pt>
                <c:pt idx="18">
                  <c:v>-1.431600982812764</c:v>
                </c:pt>
                <c:pt idx="19">
                  <c:v>-1.5171841976744815</c:v>
                </c:pt>
                <c:pt idx="20">
                  <c:v>-1.6601183366748096</c:v>
                </c:pt>
                <c:pt idx="21">
                  <c:v>-1.6341170575755672</c:v>
                </c:pt>
                <c:pt idx="22">
                  <c:v>-1.6987865810849758</c:v>
                </c:pt>
                <c:pt idx="23">
                  <c:v>-1.7387801040537276</c:v>
                </c:pt>
                <c:pt idx="24">
                  <c:v>-1.715902756313568</c:v>
                </c:pt>
                <c:pt idx="25">
                  <c:v>-1.7594410414514705</c:v>
                </c:pt>
                <c:pt idx="26">
                  <c:v>-1.8357064030034564</c:v>
                </c:pt>
                <c:pt idx="27">
                  <c:v>-1.8316691985834197</c:v>
                </c:pt>
                <c:pt idx="28">
                  <c:v>-1.7558849929673723</c:v>
                </c:pt>
                <c:pt idx="29">
                  <c:v>-1.8741654556097451</c:v>
                </c:pt>
                <c:pt idx="30">
                  <c:v>-1.8017840327076762</c:v>
                </c:pt>
                <c:pt idx="31">
                  <c:v>-1.7527019762834328</c:v>
                </c:pt>
                <c:pt idx="32">
                  <c:v>-1.7496508087152751</c:v>
                </c:pt>
                <c:pt idx="33">
                  <c:v>-1.7496508087152751</c:v>
                </c:pt>
                <c:pt idx="34">
                  <c:v>-1.7210294700023887</c:v>
                </c:pt>
                <c:pt idx="35">
                  <c:v>-1.813491846739602</c:v>
                </c:pt>
                <c:pt idx="36">
                  <c:v>-1.8519757923092683</c:v>
                </c:pt>
                <c:pt idx="37">
                  <c:v>-1.8900907346167664</c:v>
                </c:pt>
                <c:pt idx="38">
                  <c:v>-1.8345578986226805</c:v>
                </c:pt>
                <c:pt idx="39">
                  <c:v>-1.7309704868548881</c:v>
                </c:pt>
                <c:pt idx="40">
                  <c:v>-1.7976841311443845</c:v>
                </c:pt>
                <c:pt idx="41">
                  <c:v>-1.6057720312608659</c:v>
                </c:pt>
                <c:pt idx="42">
                  <c:v>-1.5401541730666324</c:v>
                </c:pt>
                <c:pt idx="43">
                  <c:v>-1.4413873258367182</c:v>
                </c:pt>
                <c:pt idx="44">
                  <c:v>-1.4466284529943483</c:v>
                </c:pt>
                <c:pt idx="45">
                  <c:v>-1.4202282019806223</c:v>
                </c:pt>
                <c:pt idx="46">
                  <c:v>-1.3343386736214065</c:v>
                </c:pt>
                <c:pt idx="47">
                  <c:v>-1.1610767831873101</c:v>
                </c:pt>
                <c:pt idx="48">
                  <c:v>-1.3336373223572959</c:v>
                </c:pt>
                <c:pt idx="49">
                  <c:v>-1.1637002711643909</c:v>
                </c:pt>
                <c:pt idx="50">
                  <c:v>-1.0011338690159235</c:v>
                </c:pt>
                <c:pt idx="51">
                  <c:v>-0.70124668991478245</c:v>
                </c:pt>
                <c:pt idx="52">
                  <c:v>-0.67970998914510439</c:v>
                </c:pt>
                <c:pt idx="53">
                  <c:v>-0.57211123869373992</c:v>
                </c:pt>
                <c:pt idx="54">
                  <c:v>-0.5720366640886283</c:v>
                </c:pt>
                <c:pt idx="55">
                  <c:v>-0.63875561423036764</c:v>
                </c:pt>
                <c:pt idx="56">
                  <c:v>3.4173758859612491E-3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B-4DF8-B839-4D6799469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968144"/>
        <c:axId val="1528969104"/>
      </c:lineChart>
      <c:lineChart>
        <c:grouping val="standard"/>
        <c:varyColors val="0"/>
        <c:ser>
          <c:idx val="1"/>
          <c:order val="1"/>
          <c:tx>
            <c:strRef>
              <c:f>'BBG Valores'!$Z$6</c:f>
              <c:strCache>
                <c:ptCount val="1"/>
                <c:pt idx="0">
                  <c:v>Spread PnL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'BBG Valores'!$A$7:$A$63</c:f>
              <c:numCache>
                <c:formatCode>m/d/yyyy</c:formatCode>
                <c:ptCount val="57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46065</c:v>
                </c:pt>
                <c:pt idx="31">
                  <c:v>46066</c:v>
                </c:pt>
                <c:pt idx="32">
                  <c:v>46069</c:v>
                </c:pt>
                <c:pt idx="33">
                  <c:v>46070</c:v>
                </c:pt>
                <c:pt idx="34">
                  <c:v>46071</c:v>
                </c:pt>
                <c:pt idx="35">
                  <c:v>46072</c:v>
                </c:pt>
                <c:pt idx="36">
                  <c:v>46073</c:v>
                </c:pt>
                <c:pt idx="37">
                  <c:v>46076</c:v>
                </c:pt>
                <c:pt idx="38">
                  <c:v>46077</c:v>
                </c:pt>
                <c:pt idx="39">
                  <c:v>46078</c:v>
                </c:pt>
                <c:pt idx="40">
                  <c:v>46079</c:v>
                </c:pt>
                <c:pt idx="41">
                  <c:v>46080</c:v>
                </c:pt>
                <c:pt idx="42">
                  <c:v>46083</c:v>
                </c:pt>
                <c:pt idx="43">
                  <c:v>46084</c:v>
                </c:pt>
                <c:pt idx="44">
                  <c:v>46085</c:v>
                </c:pt>
                <c:pt idx="45">
                  <c:v>46086</c:v>
                </c:pt>
                <c:pt idx="46">
                  <c:v>46087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46097</c:v>
                </c:pt>
                <c:pt idx="53">
                  <c:v>46098</c:v>
                </c:pt>
                <c:pt idx="54">
                  <c:v>46099</c:v>
                </c:pt>
                <c:pt idx="55">
                  <c:v>46100</c:v>
                </c:pt>
                <c:pt idx="56">
                  <c:v>46101</c:v>
                </c:pt>
              </c:numCache>
            </c:numRef>
          </c:cat>
          <c:val>
            <c:numRef>
              <c:f>'BBG Valores'!$Z$7:$Z$63</c:f>
              <c:numCache>
                <c:formatCode>General</c:formatCode>
                <c:ptCount val="57"/>
                <c:pt idx="1">
                  <c:v>-0.24983148049851422</c:v>
                </c:pt>
                <c:pt idx="2">
                  <c:v>-78.265250814662977</c:v>
                </c:pt>
                <c:pt idx="3">
                  <c:v>-43.555026113711776</c:v>
                </c:pt>
                <c:pt idx="4">
                  <c:v>-14.965770281734244</c:v>
                </c:pt>
                <c:pt idx="5">
                  <c:v>28.908145932442654</c:v>
                </c:pt>
                <c:pt idx="6">
                  <c:v>30.37304280377969</c:v>
                </c:pt>
                <c:pt idx="7">
                  <c:v>-4.3956539163025141</c:v>
                </c:pt>
                <c:pt idx="8">
                  <c:v>-59.357476534256975</c:v>
                </c:pt>
                <c:pt idx="9">
                  <c:v>40.639911996335996</c:v>
                </c:pt>
                <c:pt idx="10">
                  <c:v>17.492103625657364</c:v>
                </c:pt>
                <c:pt idx="11">
                  <c:v>9.984087597449502</c:v>
                </c:pt>
                <c:pt idx="12">
                  <c:v>-22.352908090284398</c:v>
                </c:pt>
                <c:pt idx="13">
                  <c:v>-8.9100173328918686</c:v>
                </c:pt>
                <c:pt idx="14">
                  <c:v>-19.610296054336246</c:v>
                </c:pt>
                <c:pt idx="15">
                  <c:v>-18.115421100516549</c:v>
                </c:pt>
                <c:pt idx="16">
                  <c:v>15.774480097751479</c:v>
                </c:pt>
                <c:pt idx="17">
                  <c:v>2.5089672119740456</c:v>
                </c:pt>
                <c:pt idx="18">
                  <c:v>27.688665002269701</c:v>
                </c:pt>
                <c:pt idx="19">
                  <c:v>-30.931306180030955</c:v>
                </c:pt>
                <c:pt idx="20">
                  <c:v>-51.829182465495087</c:v>
                </c:pt>
                <c:pt idx="21">
                  <c:v>9.4041190424441616</c:v>
                </c:pt>
                <c:pt idx="22">
                  <c:v>-23.765738363713638</c:v>
                </c:pt>
                <c:pt idx="23">
                  <c:v>-14.566030182580846</c:v>
                </c:pt>
                <c:pt idx="24">
                  <c:v>8.2912529163353952</c:v>
                </c:pt>
                <c:pt idx="25">
                  <c:v>-15.891308200865673</c:v>
                </c:pt>
                <c:pt idx="26">
                  <c:v>-27.575014361062326</c:v>
                </c:pt>
                <c:pt idx="27">
                  <c:v>1.0808662355725787</c:v>
                </c:pt>
                <c:pt idx="28">
                  <c:v>27.799829901278343</c:v>
                </c:pt>
                <c:pt idx="29">
                  <c:v>-43.059941852749603</c:v>
                </c:pt>
                <c:pt idx="30">
                  <c:v>26.220568012095491</c:v>
                </c:pt>
                <c:pt idx="31">
                  <c:v>17.909870791096704</c:v>
                </c:pt>
                <c:pt idx="32">
                  <c:v>1.1292779466801268</c:v>
                </c:pt>
                <c:pt idx="33">
                  <c:v>0.1495976542319335</c:v>
                </c:pt>
                <c:pt idx="34">
                  <c:v>10.664412772261691</c:v>
                </c:pt>
                <c:pt idx="35">
                  <c:v>-33.829702032879098</c:v>
                </c:pt>
                <c:pt idx="36">
                  <c:v>-14.369158898331683</c:v>
                </c:pt>
                <c:pt idx="37">
                  <c:v>-14.0090282161093</c:v>
                </c:pt>
                <c:pt idx="38">
                  <c:v>20.385290257341808</c:v>
                </c:pt>
                <c:pt idx="39">
                  <c:v>38.256017803448749</c:v>
                </c:pt>
                <c:pt idx="40">
                  <c:v>-24.694584269433747</c:v>
                </c:pt>
                <c:pt idx="41">
                  <c:v>70.796120835965084</c:v>
                </c:pt>
                <c:pt idx="42">
                  <c:v>23.960103282142818</c:v>
                </c:pt>
                <c:pt idx="43">
                  <c:v>36.530113059520204</c:v>
                </c:pt>
                <c:pt idx="44">
                  <c:v>-2.081769201878231</c:v>
                </c:pt>
                <c:pt idx="45">
                  <c:v>10.724451374367391</c:v>
                </c:pt>
                <c:pt idx="46">
                  <c:v>32.961595505896014</c:v>
                </c:pt>
                <c:pt idx="47">
                  <c:v>62.229480592716655</c:v>
                </c:pt>
                <c:pt idx="48">
                  <c:v>-64.139284639581263</c:v>
                </c:pt>
                <c:pt idx="49">
                  <c:v>61.885602723061893</c:v>
                </c:pt>
                <c:pt idx="50">
                  <c:v>60.196886953029264</c:v>
                </c:pt>
                <c:pt idx="51">
                  <c:v>110.88730995155424</c:v>
                </c:pt>
                <c:pt idx="52">
                  <c:v>4.2577883925927154</c:v>
                </c:pt>
                <c:pt idx="53">
                  <c:v>38.646899789918045</c:v>
                </c:pt>
                <c:pt idx="54">
                  <c:v>0.4115183245380365</c:v>
                </c:pt>
                <c:pt idx="55">
                  <c:v>-24.225269463655671</c:v>
                </c:pt>
                <c:pt idx="56">
                  <c:v>229.98389037909786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5B-4DF8-B839-4D6799469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051919"/>
        <c:axId val="1970051439"/>
      </c:lineChart>
      <c:dateAx>
        <c:axId val="1528968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69104"/>
        <c:crosses val="autoZero"/>
        <c:auto val="1"/>
        <c:lblOffset val="100"/>
        <c:baseTimeUnit val="days"/>
      </c:dateAx>
      <c:valAx>
        <c:axId val="152896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968144"/>
        <c:crosses val="autoZero"/>
        <c:crossBetween val="between"/>
      </c:valAx>
      <c:valAx>
        <c:axId val="19700514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051919"/>
        <c:crosses val="max"/>
        <c:crossBetween val="between"/>
      </c:valAx>
      <c:dateAx>
        <c:axId val="197005191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970051439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369313210848639"/>
                  <c:y val="-4.166666666666666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'BBG Valores'!$AA$9:$AA$63</c:f>
              <c:numCache>
                <c:formatCode>0.00</c:formatCode>
                <c:ptCount val="55"/>
                <c:pt idx="0">
                  <c:v>-0.21806984941530239</c:v>
                </c:pt>
                <c:pt idx="1">
                  <c:v>-0.12146639099688272</c:v>
                </c:pt>
                <c:pt idx="2">
                  <c:v>-4.2054803063052759E-2</c:v>
                </c:pt>
                <c:pt idx="3">
                  <c:v>8.1147106878010078E-2</c:v>
                </c:pt>
                <c:pt idx="4">
                  <c:v>8.4540979624447843E-2</c:v>
                </c:pt>
                <c:pt idx="5">
                  <c:v>-1.2158775599791838E-2</c:v>
                </c:pt>
                <c:pt idx="6">
                  <c:v>-0.16527671349790829</c:v>
                </c:pt>
                <c:pt idx="7">
                  <c:v>0.1129930419800278</c:v>
                </c:pt>
                <c:pt idx="8">
                  <c:v>4.8625689921077964E-2</c:v>
                </c:pt>
                <c:pt idx="9">
                  <c:v>2.550416133950506E-2</c:v>
                </c:pt>
                <c:pt idx="10">
                  <c:v>-6.2190854914966565E-2</c:v>
                </c:pt>
                <c:pt idx="11">
                  <c:v>-2.7846003543952946E-2</c:v>
                </c:pt>
                <c:pt idx="12">
                  <c:v>-5.2009879003289683E-2</c:v>
                </c:pt>
                <c:pt idx="13">
                  <c:v>-4.9019811830609328E-2</c:v>
                </c:pt>
                <c:pt idx="14">
                  <c:v>4.4876109371495332E-2</c:v>
                </c:pt>
                <c:pt idx="15">
                  <c:v>7.5809262482859907E-3</c:v>
                </c:pt>
                <c:pt idx="16">
                  <c:v>7.6553378427734131E-2</c:v>
                </c:pt>
                <c:pt idx="17">
                  <c:v>-8.5583214861717494E-2</c:v>
                </c:pt>
                <c:pt idx="18">
                  <c:v>-0.14293413900032803</c:v>
                </c:pt>
                <c:pt idx="19">
                  <c:v>2.6001279099242325E-2</c:v>
                </c:pt>
                <c:pt idx="20">
                  <c:v>-6.4669523509408577E-2</c:v>
                </c:pt>
                <c:pt idx="21">
                  <c:v>-3.9993522968751805E-2</c:v>
                </c:pt>
                <c:pt idx="22">
                  <c:v>2.2877347740159593E-2</c:v>
                </c:pt>
                <c:pt idx="23">
                  <c:v>-4.3538285137902477E-2</c:v>
                </c:pt>
                <c:pt idx="24">
                  <c:v>-7.6265361551985933E-2</c:v>
                </c:pt>
                <c:pt idx="25">
                  <c:v>4.0372044200367441E-3</c:v>
                </c:pt>
                <c:pt idx="26">
                  <c:v>7.5784205616047373E-2</c:v>
                </c:pt>
                <c:pt idx="27">
                  <c:v>-0.1182804626423728</c:v>
                </c:pt>
                <c:pt idx="28">
                  <c:v>7.2381422902068948E-2</c:v>
                </c:pt>
                <c:pt idx="29">
                  <c:v>4.9082056424243348E-2</c:v>
                </c:pt>
                <c:pt idx="30">
                  <c:v>3.0511675681577088E-3</c:v>
                </c:pt>
                <c:pt idx="31">
                  <c:v>0</c:v>
                </c:pt>
                <c:pt idx="32">
                  <c:v>2.8621338712886413E-2</c:v>
                </c:pt>
                <c:pt idx="33">
                  <c:v>-9.2462376737213248E-2</c:v>
                </c:pt>
                <c:pt idx="34">
                  <c:v>-3.8483945569666389E-2</c:v>
                </c:pt>
                <c:pt idx="35">
                  <c:v>-3.8114942307498012E-2</c:v>
                </c:pt>
                <c:pt idx="36">
                  <c:v>5.5532835994085872E-2</c:v>
                </c:pt>
                <c:pt idx="37">
                  <c:v>0.1035874117677924</c:v>
                </c:pt>
                <c:pt idx="38">
                  <c:v>-6.6713644289496443E-2</c:v>
                </c:pt>
                <c:pt idx="39">
                  <c:v>0.19191209988351865</c:v>
                </c:pt>
                <c:pt idx="40">
                  <c:v>6.5617858194233492E-2</c:v>
                </c:pt>
                <c:pt idx="41">
                  <c:v>9.8766847229914134E-2</c:v>
                </c:pt>
                <c:pt idx="42">
                  <c:v>-5.2411271576300322E-3</c:v>
                </c:pt>
                <c:pt idx="43">
                  <c:v>2.6400251013726006E-2</c:v>
                </c:pt>
                <c:pt idx="44">
                  <c:v>8.5889528359215817E-2</c:v>
                </c:pt>
                <c:pt idx="45">
                  <c:v>0.17326189043409634</c:v>
                </c:pt>
                <c:pt idx="46">
                  <c:v>-0.17256053916998582</c:v>
                </c:pt>
                <c:pt idx="47">
                  <c:v>0.16993705119290503</c:v>
                </c:pt>
                <c:pt idx="48">
                  <c:v>0.1625664021484674</c:v>
                </c:pt>
                <c:pt idx="49">
                  <c:v>0.29988717910114104</c:v>
                </c:pt>
                <c:pt idx="50">
                  <c:v>2.1536700769678063E-2</c:v>
                </c:pt>
                <c:pt idx="51">
                  <c:v>0.10759875045136447</c:v>
                </c:pt>
                <c:pt idx="52">
                  <c:v>7.4574605111621395E-5</c:v>
                </c:pt>
                <c:pt idx="53">
                  <c:v>-6.6718950141739342E-2</c:v>
                </c:pt>
                <c:pt idx="54">
                  <c:v>0.64217299011632889</c:v>
                </c:pt>
              </c:numCache>
            </c:numRef>
          </c:xVal>
          <c:yVal>
            <c:numRef>
              <c:f>'BBG Valores'!$Z$9:$Z$63</c:f>
              <c:numCache>
                <c:formatCode>General</c:formatCode>
                <c:ptCount val="55"/>
                <c:pt idx="0">
                  <c:v>-78.265250814662977</c:v>
                </c:pt>
                <c:pt idx="1">
                  <c:v>-43.555026113711776</c:v>
                </c:pt>
                <c:pt idx="2">
                  <c:v>-14.965770281734244</c:v>
                </c:pt>
                <c:pt idx="3">
                  <c:v>28.908145932442654</c:v>
                </c:pt>
                <c:pt idx="4">
                  <c:v>30.37304280377969</c:v>
                </c:pt>
                <c:pt idx="5">
                  <c:v>-4.3956539163025141</c:v>
                </c:pt>
                <c:pt idx="6">
                  <c:v>-59.357476534256975</c:v>
                </c:pt>
                <c:pt idx="7">
                  <c:v>40.639911996335996</c:v>
                </c:pt>
                <c:pt idx="8">
                  <c:v>17.492103625657364</c:v>
                </c:pt>
                <c:pt idx="9">
                  <c:v>9.984087597449502</c:v>
                </c:pt>
                <c:pt idx="10">
                  <c:v>-22.352908090284398</c:v>
                </c:pt>
                <c:pt idx="11">
                  <c:v>-8.9100173328918686</c:v>
                </c:pt>
                <c:pt idx="12">
                  <c:v>-19.610296054336246</c:v>
                </c:pt>
                <c:pt idx="13">
                  <c:v>-18.115421100516549</c:v>
                </c:pt>
                <c:pt idx="14">
                  <c:v>15.774480097751479</c:v>
                </c:pt>
                <c:pt idx="15">
                  <c:v>2.5089672119740456</c:v>
                </c:pt>
                <c:pt idx="16">
                  <c:v>27.688665002269701</c:v>
                </c:pt>
                <c:pt idx="17">
                  <c:v>-30.931306180030955</c:v>
                </c:pt>
                <c:pt idx="18">
                  <c:v>-51.829182465495087</c:v>
                </c:pt>
                <c:pt idx="19">
                  <c:v>9.4041190424441616</c:v>
                </c:pt>
                <c:pt idx="20">
                  <c:v>-23.765738363713638</c:v>
                </c:pt>
                <c:pt idx="21">
                  <c:v>-14.566030182580846</c:v>
                </c:pt>
                <c:pt idx="22">
                  <c:v>8.2912529163353952</c:v>
                </c:pt>
                <c:pt idx="23">
                  <c:v>-15.891308200865673</c:v>
                </c:pt>
                <c:pt idx="24">
                  <c:v>-27.575014361062326</c:v>
                </c:pt>
                <c:pt idx="25">
                  <c:v>1.0808662355725787</c:v>
                </c:pt>
                <c:pt idx="26">
                  <c:v>27.799829901278343</c:v>
                </c:pt>
                <c:pt idx="27">
                  <c:v>-43.059941852749603</c:v>
                </c:pt>
                <c:pt idx="28">
                  <c:v>26.220568012095491</c:v>
                </c:pt>
                <c:pt idx="29">
                  <c:v>17.909870791096704</c:v>
                </c:pt>
                <c:pt idx="30">
                  <c:v>1.1292779466801268</c:v>
                </c:pt>
                <c:pt idx="31">
                  <c:v>0.1495976542319335</c:v>
                </c:pt>
                <c:pt idx="32">
                  <c:v>10.664412772261691</c:v>
                </c:pt>
                <c:pt idx="33">
                  <c:v>-33.829702032879098</c:v>
                </c:pt>
                <c:pt idx="34">
                  <c:v>-14.369158898331683</c:v>
                </c:pt>
                <c:pt idx="35">
                  <c:v>-14.0090282161093</c:v>
                </c:pt>
                <c:pt idx="36">
                  <c:v>20.385290257341808</c:v>
                </c:pt>
                <c:pt idx="37">
                  <c:v>38.256017803448749</c:v>
                </c:pt>
                <c:pt idx="38">
                  <c:v>-24.694584269433747</c:v>
                </c:pt>
                <c:pt idx="39">
                  <c:v>70.796120835965084</c:v>
                </c:pt>
                <c:pt idx="40">
                  <c:v>23.960103282142818</c:v>
                </c:pt>
                <c:pt idx="41">
                  <c:v>36.530113059520204</c:v>
                </c:pt>
                <c:pt idx="42">
                  <c:v>-2.081769201878231</c:v>
                </c:pt>
                <c:pt idx="43">
                  <c:v>10.724451374367391</c:v>
                </c:pt>
                <c:pt idx="44">
                  <c:v>32.961595505896014</c:v>
                </c:pt>
                <c:pt idx="45">
                  <c:v>62.229480592716655</c:v>
                </c:pt>
                <c:pt idx="46">
                  <c:v>-64.139284639581263</c:v>
                </c:pt>
                <c:pt idx="47">
                  <c:v>61.885602723061893</c:v>
                </c:pt>
                <c:pt idx="48">
                  <c:v>60.196886953029264</c:v>
                </c:pt>
                <c:pt idx="49">
                  <c:v>110.88730995155424</c:v>
                </c:pt>
                <c:pt idx="50">
                  <c:v>4.2577883925927154</c:v>
                </c:pt>
                <c:pt idx="51">
                  <c:v>38.646899789918045</c:v>
                </c:pt>
                <c:pt idx="52">
                  <c:v>0.4115183245380365</c:v>
                </c:pt>
                <c:pt idx="53">
                  <c:v>-24.225269463655671</c:v>
                </c:pt>
                <c:pt idx="54">
                  <c:v>229.98389037909786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B2-4BBE-B510-EF3CC6A96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4047823"/>
        <c:axId val="1964044463"/>
      </c:scatterChart>
      <c:valAx>
        <c:axId val="196404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044463"/>
        <c:crosses val="autoZero"/>
        <c:crossBetween val="midCat"/>
      </c:valAx>
      <c:valAx>
        <c:axId val="19640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04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409575</xdr:colOff>
      <xdr:row>3</xdr:row>
      <xdr:rowOff>142875</xdr:rowOff>
    </xdr:from>
    <xdr:to>
      <xdr:col>45</xdr:col>
      <xdr:colOff>104775</xdr:colOff>
      <xdr:row>18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0C453C-CC83-4CE7-BC7D-7DD5D6200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438150</xdr:colOff>
      <xdr:row>19</xdr:row>
      <xdr:rowOff>57150</xdr:rowOff>
    </xdr:from>
    <xdr:to>
      <xdr:col>45</xdr:col>
      <xdr:colOff>133350</xdr:colOff>
      <xdr:row>33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A8243C-3769-45A5-95A6-68500EE40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36</xdr:row>
      <xdr:rowOff>0</xdr:rowOff>
    </xdr:from>
    <xdr:to>
      <xdr:col>45</xdr:col>
      <xdr:colOff>304800</xdr:colOff>
      <xdr:row>50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C45FB3-6739-434B-8D5B-BA3184631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409575</xdr:colOff>
      <xdr:row>3</xdr:row>
      <xdr:rowOff>142875</xdr:rowOff>
    </xdr:from>
    <xdr:to>
      <xdr:col>45</xdr:col>
      <xdr:colOff>104775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28DB9A-9BEE-4E68-8FB8-396ECD019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438150</xdr:colOff>
      <xdr:row>19</xdr:row>
      <xdr:rowOff>57150</xdr:rowOff>
    </xdr:from>
    <xdr:to>
      <xdr:col>45</xdr:col>
      <xdr:colOff>133350</xdr:colOff>
      <xdr:row>33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51D4A3-D04E-48B2-A101-4CB4B6B49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36</xdr:row>
      <xdr:rowOff>0</xdr:rowOff>
    </xdr:from>
    <xdr:to>
      <xdr:col>45</xdr:col>
      <xdr:colOff>304800</xdr:colOff>
      <xdr:row>50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C23218-1F84-4B3C-B338-73D1CAB414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C402-2F65-4FB5-953A-3F7F7AE868B7}">
  <dimension ref="A1:AJ63"/>
  <sheetViews>
    <sheetView workbookViewId="0">
      <selection activeCell="AD10" sqref="AD10"/>
    </sheetView>
  </sheetViews>
  <sheetFormatPr defaultColWidth="9.1796875" defaultRowHeight="14.5" x14ac:dyDescent="0.35"/>
  <cols>
    <col min="1" max="1" width="10.453125" style="3" bestFit="1" customWidth="1"/>
    <col min="2" max="5" width="14.54296875" style="3" bestFit="1" customWidth="1"/>
    <col min="6" max="6" width="15" style="3" bestFit="1" customWidth="1"/>
    <col min="7" max="14" width="14.54296875" style="3" bestFit="1" customWidth="1"/>
    <col min="15" max="18" width="14.54296875" style="3" customWidth="1"/>
    <col min="19" max="22" width="14.54296875" style="3" bestFit="1" customWidth="1"/>
    <col min="23" max="25" width="11.81640625" style="3" customWidth="1"/>
    <col min="26" max="26" width="10.7265625" style="3" bestFit="1" customWidth="1"/>
    <col min="27" max="27" width="14.26953125" style="3" bestFit="1" customWidth="1"/>
    <col min="28" max="28" width="14.26953125" style="3" customWidth="1"/>
    <col min="29" max="16384" width="9.1796875" style="3"/>
  </cols>
  <sheetData>
    <row r="1" spans="1:36" x14ac:dyDescent="0.35">
      <c r="A1" s="3" t="s">
        <v>4</v>
      </c>
      <c r="B1" s="2">
        <v>46023</v>
      </c>
      <c r="AH1" s="3" t="s">
        <v>45</v>
      </c>
    </row>
    <row r="2" spans="1:36" x14ac:dyDescent="0.35">
      <c r="A2" s="3" t="s">
        <v>5</v>
      </c>
      <c r="AC2" s="24">
        <f>K7/L7</f>
        <v>1.1249579463319135</v>
      </c>
      <c r="AD2" s="24">
        <v>1</v>
      </c>
      <c r="AE2" s="24">
        <v>0</v>
      </c>
      <c r="AF2" s="24">
        <v>0</v>
      </c>
      <c r="AH2" s="24" cm="1">
        <f t="array" ref="AH2:AH5">MMULT(MINVERSE(AC2:AF5),AJ2:AJ5)</f>
        <v>0.45498591091990592</v>
      </c>
      <c r="AJ2" s="24">
        <v>0</v>
      </c>
    </row>
    <row r="3" spans="1:36" x14ac:dyDescent="0.35">
      <c r="AC3" s="24">
        <v>0</v>
      </c>
      <c r="AD3" s="24">
        <v>0</v>
      </c>
      <c r="AE3" s="24">
        <f>M8/N8</f>
        <v>1.6585189792679842</v>
      </c>
      <c r="AF3" s="24">
        <v>1</v>
      </c>
      <c r="AH3" s="24">
        <v>-0.511840015958412</v>
      </c>
      <c r="AJ3" s="24">
        <v>0</v>
      </c>
    </row>
    <row r="4" spans="1:36" x14ac:dyDescent="0.35">
      <c r="A4" s="1" t="s">
        <v>7</v>
      </c>
      <c r="B4" s="2">
        <v>46388</v>
      </c>
      <c r="C4" s="2">
        <v>46753</v>
      </c>
      <c r="D4" s="2">
        <v>47849</v>
      </c>
      <c r="E4" s="2">
        <v>49310</v>
      </c>
      <c r="F4" s="3" t="s">
        <v>38</v>
      </c>
      <c r="AC4" s="24">
        <f>O7</f>
        <v>-763.99690872187853</v>
      </c>
      <c r="AD4" s="24">
        <f>P7</f>
        <v>-1371.3859175793132</v>
      </c>
      <c r="AE4" s="24">
        <f>Q7</f>
        <v>-2334.4253057004948</v>
      </c>
      <c r="AF4" s="24">
        <f>R7</f>
        <v>-2521.7290743404387</v>
      </c>
      <c r="AH4" s="24">
        <v>-0.1917421938332276</v>
      </c>
      <c r="AJ4" s="24">
        <v>0</v>
      </c>
    </row>
    <row r="5" spans="1:36" x14ac:dyDescent="0.35">
      <c r="B5" s="17" t="s">
        <v>0</v>
      </c>
      <c r="C5" s="17" t="s">
        <v>1</v>
      </c>
      <c r="D5" s="17" t="s">
        <v>2</v>
      </c>
      <c r="E5" s="17" t="s">
        <v>3</v>
      </c>
      <c r="F5" s="3" t="s">
        <v>8</v>
      </c>
      <c r="G5" s="25" t="s">
        <v>9</v>
      </c>
      <c r="H5" s="25"/>
      <c r="I5" s="25"/>
      <c r="J5" s="25"/>
      <c r="K5" s="26" t="s">
        <v>39</v>
      </c>
      <c r="L5" s="26"/>
      <c r="M5" s="26"/>
      <c r="N5" s="26"/>
      <c r="O5" s="25" t="s">
        <v>46</v>
      </c>
      <c r="P5" s="25"/>
      <c r="Q5" s="25"/>
      <c r="R5" s="25"/>
      <c r="S5" s="27" t="s">
        <v>40</v>
      </c>
      <c r="T5" s="27"/>
      <c r="U5" s="27"/>
      <c r="V5" s="27"/>
      <c r="W5" s="28" t="s">
        <v>41</v>
      </c>
      <c r="X5" s="28"/>
      <c r="Y5" s="28"/>
      <c r="AC5" s="24">
        <f>O7</f>
        <v>-763.99690872187853</v>
      </c>
      <c r="AD5" s="24">
        <f>-P7</f>
        <v>1371.3859175793132</v>
      </c>
      <c r="AE5" s="24">
        <f>Q7</f>
        <v>-2334.4253057004948</v>
      </c>
      <c r="AF5" s="24">
        <f>-R7</f>
        <v>2521.7290743404387</v>
      </c>
      <c r="AH5" s="24">
        <v>0.31800806759888861</v>
      </c>
      <c r="AJ5" s="24">
        <v>200</v>
      </c>
    </row>
    <row r="6" spans="1:36" x14ac:dyDescent="0.35">
      <c r="A6" s="3" t="s">
        <v>6</v>
      </c>
      <c r="B6" s="18" t="str">
        <f>_xll.BFieldInfo("PX_LAST")</f>
        <v>Last Price</v>
      </c>
      <c r="C6" s="18" t="str">
        <f>_xll.BFieldInfo("PX_LAST")</f>
        <v>Last Price</v>
      </c>
      <c r="D6" s="18" t="str">
        <f>_xll.BFieldInfo("PX_LAST")</f>
        <v>Last Price</v>
      </c>
      <c r="E6" s="18" t="str">
        <f>_xll.BFieldInfo("PX_LAST")</f>
        <v>Last Price</v>
      </c>
      <c r="G6" s="19" t="s">
        <v>0</v>
      </c>
      <c r="H6" s="19" t="s">
        <v>1</v>
      </c>
      <c r="I6" s="19" t="s">
        <v>2</v>
      </c>
      <c r="J6" s="19" t="s">
        <v>3</v>
      </c>
      <c r="K6" s="20" t="s">
        <v>0</v>
      </c>
      <c r="L6" s="20" t="s">
        <v>1</v>
      </c>
      <c r="M6" s="20" t="s">
        <v>2</v>
      </c>
      <c r="N6" s="20" t="s">
        <v>3</v>
      </c>
      <c r="O6" s="19" t="s">
        <v>0</v>
      </c>
      <c r="P6" s="19" t="s">
        <v>1</v>
      </c>
      <c r="Q6" s="19" t="s">
        <v>2</v>
      </c>
      <c r="R6" s="19" t="s">
        <v>3</v>
      </c>
      <c r="S6" s="21" t="s">
        <v>0</v>
      </c>
      <c r="T6" s="21" t="s">
        <v>1</v>
      </c>
      <c r="U6" s="21" t="s">
        <v>2</v>
      </c>
      <c r="V6" s="21" t="s">
        <v>3</v>
      </c>
      <c r="W6" s="22" t="s">
        <v>42</v>
      </c>
      <c r="X6" s="22" t="s">
        <v>43</v>
      </c>
      <c r="Y6" s="22" t="s">
        <v>44</v>
      </c>
      <c r="Z6" s="1" t="s">
        <v>47</v>
      </c>
      <c r="AA6" s="1" t="s">
        <v>48</v>
      </c>
      <c r="AB6" s="1"/>
    </row>
    <row r="7" spans="1:36" x14ac:dyDescent="0.35">
      <c r="A7" s="2" cm="1">
        <f t="array" ref="A7:B63">_xll.BDH(B$5,"PX_LAST",$B1,$B2,"Dir=V","CDR=5D","Days=A","Dts=S")</f>
        <v>46023</v>
      </c>
      <c r="B7" s="3">
        <v>13.811999999999999</v>
      </c>
      <c r="C7" s="3" cm="1">
        <f t="array" ref="C7:C63">_xll.BDH(C$5,"PX_LAST",$B1,$B2,"Dir=V","CDR=5D","Days=A","Dts=H")</f>
        <v>13.176</v>
      </c>
      <c r="D7" s="3" cm="1">
        <f t="array" ref="D7:D63">_xll.BDH(D$5,"PX_LAST",$B1,$B2,"Dir=V","CDR=5D","Days=A","Dts=H")</f>
        <v>13.474</v>
      </c>
      <c r="E7" s="3" cm="1">
        <f t="array" ref="E7:E63">_xll.BDH(E$5,"PX_LAST",$B1,$B2,"Dir=V","CDR=5D","Days=A","Dts=H")</f>
        <v>13.579000000000001</v>
      </c>
      <c r="F7" s="3" cm="1">
        <f t="array" ref="F7:F63">_xll.BDH(F$5,"PX_LAST",$B1,$B2,"Dir=V","CDR=5D","Days=A","Dts=H")</f>
        <v>5.5130999999999999E-2</v>
      </c>
      <c r="G7" s="3">
        <f>NETWORKDAYS($A7,B$4,Feriados!$A$2:$A$1265)</f>
        <v>249</v>
      </c>
      <c r="H7" s="3">
        <f>NETWORKDAYS($A7,C$4,Feriados!$A$2:$A$1265)</f>
        <v>500</v>
      </c>
      <c r="I7" s="3">
        <f>NETWORKDAYS($A7,D$4,Feriados!$A$2:$A$1265)</f>
        <v>1249</v>
      </c>
      <c r="J7" s="3">
        <f>NETWORKDAYS($A7,E$4,Feriados!$A$2:$A$1265)</f>
        <v>2252</v>
      </c>
      <c r="K7" s="3">
        <f>100000/((1+B7/100)^(G7/252))</f>
        <v>87999.630828170761</v>
      </c>
      <c r="L7" s="3">
        <f>100000/((1+C7/100)^(H7/252))</f>
        <v>78224.818194409992</v>
      </c>
      <c r="M7" s="3">
        <f>100000/((1+D7/100)^(I7/252))</f>
        <v>53445.906676575345</v>
      </c>
      <c r="N7" s="3">
        <f>100000/((1+E7/100)^(J7/252))</f>
        <v>32050.043324465896</v>
      </c>
      <c r="O7" s="3">
        <f>(-(G7/252)*K7/(1+B7/100))/100</f>
        <v>-763.99690872187853</v>
      </c>
      <c r="P7" s="3">
        <f>(-(H7/252)*L7/(1+C7/100))/100</f>
        <v>-1371.3859175793132</v>
      </c>
      <c r="Q7" s="3">
        <f>(-(I7/252)*M7/(1+D7/100))/100</f>
        <v>-2334.4253057004948</v>
      </c>
      <c r="R7" s="3">
        <f>(-(J7/252)*N7/(1+E7/100))/100</f>
        <v>-2521.7290743404387</v>
      </c>
      <c r="W7" s="23">
        <f t="shared" ref="W7:W38" si="0">100*((((1+C7/100)^(H7/252))/((1+B7/100)^(G7/252)))^(252/(H7-G7))-1)</f>
        <v>12.54857948678838</v>
      </c>
      <c r="X7" s="23">
        <f t="shared" ref="X7:X38" si="1">100*((((1+E7/100)^(J7/252))/((1+D7/100)^(I7/252)))^(252/(J7-I7))-1)</f>
        <v>13.709888577511853</v>
      </c>
      <c r="Y7" s="23">
        <f>W7-X7</f>
        <v>-1.1613090907234724</v>
      </c>
    </row>
    <row r="8" spans="1:36" x14ac:dyDescent="0.35">
      <c r="A8" s="2">
        <v>46024</v>
      </c>
      <c r="B8" s="3">
        <v>13.704000000000001</v>
      </c>
      <c r="C8" s="3">
        <v>13.042999999999999</v>
      </c>
      <c r="D8" s="3">
        <v>13.323</v>
      </c>
      <c r="E8" s="3">
        <v>13.426</v>
      </c>
      <c r="F8" s="3">
        <v>5.5130999999999999E-2</v>
      </c>
      <c r="G8" s="3">
        <f>NETWORKDAYS($A8,B$4,Feriados!$A$2:$A$1265)</f>
        <v>249</v>
      </c>
      <c r="H8" s="3">
        <f>NETWORKDAYS($A8,C$4,Feriados!$A$2:$A$1265)</f>
        <v>500</v>
      </c>
      <c r="I8" s="3">
        <f>NETWORKDAYS($A8,D$4,Feriados!$A$2:$A$1265)</f>
        <v>1249</v>
      </c>
      <c r="J8" s="3">
        <f>NETWORKDAYS($A8,E$4,Feriados!$A$2:$A$1265)</f>
        <v>2252</v>
      </c>
      <c r="K8" s="3">
        <f t="shared" ref="K8:K63" si="2">100000/((1+B8/100)^(G8/252))</f>
        <v>88082.220399956757</v>
      </c>
      <c r="L8" s="3">
        <f t="shared" ref="L8:L63" si="3">100000/((1+C8/100)^(H8/252))</f>
        <v>78407.532834165904</v>
      </c>
      <c r="M8" s="3">
        <f t="shared" ref="M8:M63" si="4">100000/((1+D8/100)^(I8/252))</f>
        <v>53799.806191574324</v>
      </c>
      <c r="N8" s="3">
        <f t="shared" ref="N8:N63" si="5">100000/((1+E8/100)^(J8/252))</f>
        <v>32438.462787637069</v>
      </c>
      <c r="O8" s="3">
        <f t="shared" ref="O8:O63" si="6">(-(G8/252)*K8/(1+B8/100))/10000</f>
        <v>-7.6544028827528061</v>
      </c>
      <c r="P8" s="3">
        <f t="shared" ref="P8:P63" si="7">(-(H8/252)*L8/(1+C8/100))/10000</f>
        <v>-13.762064139760186</v>
      </c>
      <c r="Q8" s="3">
        <f t="shared" ref="Q8:Q63" si="8">(-(I8/252)*M8/(1+D8/100))/10000</f>
        <v>-23.530141870525004</v>
      </c>
      <c r="R8" s="3">
        <f t="shared" ref="R8:R63" si="9">(-(J8/252)*N8/(1+E8/100))/10000</f>
        <v>-25.557330783932784</v>
      </c>
      <c r="S8" s="3">
        <f t="shared" ref="S8:S39" si="10">K8-K7*(1+$F7/100)</f>
        <v>34.074495314111118</v>
      </c>
      <c r="T8" s="3">
        <f t="shared" ref="T8:T39" si="11">L8-L7*(1+$F7/100)</f>
        <v>139.58851523714839</v>
      </c>
      <c r="U8" s="3">
        <f t="shared" ref="U8:U39" si="12">M8-M7*(1+$F7/100)</f>
        <v>324.43425218910852</v>
      </c>
      <c r="V8" s="3">
        <f t="shared" ref="V8:V39" si="13">N8-N7*(1+$F7/100)</f>
        <v>370.7499537859585</v>
      </c>
      <c r="W8" s="23">
        <f t="shared" si="0"/>
        <v>12.391063802940172</v>
      </c>
      <c r="X8" s="23">
        <f t="shared" si="1"/>
        <v>13.554393097677764</v>
      </c>
      <c r="Y8" s="23">
        <f t="shared" ref="Y8:Y63" si="14">W8-X8</f>
        <v>-1.1633292947375917</v>
      </c>
      <c r="Z8" s="3" cm="1">
        <f t="array" ref="Z8">SUMPRODUCT(S8:V8,TRANSPOSE($AH$2:$AH$5))</f>
        <v>-0.24983148049851422</v>
      </c>
      <c r="AA8" s="23">
        <f>Y8-Y7</f>
        <v>-2.0202040141192867E-3</v>
      </c>
    </row>
    <row r="9" spans="1:36" x14ac:dyDescent="0.35">
      <c r="A9" s="2">
        <v>46027</v>
      </c>
      <c r="B9" s="3">
        <v>13.701000000000001</v>
      </c>
      <c r="C9" s="3">
        <v>12.994999999999999</v>
      </c>
      <c r="D9" s="3">
        <v>13.317</v>
      </c>
      <c r="E9" s="3">
        <v>13.48</v>
      </c>
      <c r="F9" s="3">
        <v>5.5130999999999999E-2</v>
      </c>
      <c r="G9" s="3">
        <f>NETWORKDAYS($A9,B$4,Feriados!$A$2:$A$1265)</f>
        <v>248</v>
      </c>
      <c r="H9" s="3">
        <f>NETWORKDAYS($A9,C$4,Feriados!$A$2:$A$1265)</f>
        <v>499</v>
      </c>
      <c r="I9" s="3">
        <f>NETWORKDAYS($A9,D$4,Feriados!$A$2:$A$1265)</f>
        <v>1248</v>
      </c>
      <c r="J9" s="3">
        <f>NETWORKDAYS($A9,E$4,Feriados!$A$2:$A$1265)</f>
        <v>2251</v>
      </c>
      <c r="K9" s="3">
        <f t="shared" si="2"/>
        <v>88129.410078419925</v>
      </c>
      <c r="L9" s="3">
        <f t="shared" si="3"/>
        <v>78511.687036381147</v>
      </c>
      <c r="M9" s="3">
        <f t="shared" si="4"/>
        <v>53840.630603154335</v>
      </c>
      <c r="N9" s="3">
        <f t="shared" si="5"/>
        <v>32316.992029248391</v>
      </c>
      <c r="O9" s="3">
        <f t="shared" si="6"/>
        <v>-7.6279479119238731</v>
      </c>
      <c r="P9" s="3">
        <f t="shared" si="7"/>
        <v>-13.758626709551763</v>
      </c>
      <c r="Q9" s="3">
        <f t="shared" si="8"/>
        <v>-23.530389391109942</v>
      </c>
      <c r="R9" s="3">
        <f t="shared" si="9"/>
        <v>-25.438210585264351</v>
      </c>
      <c r="S9" s="3">
        <f t="shared" si="10"/>
        <v>-1.3709304655349115</v>
      </c>
      <c r="T9" s="3">
        <f t="shared" si="11"/>
        <v>60.927345288437209</v>
      </c>
      <c r="U9" s="3">
        <f t="shared" si="12"/>
        <v>11.164040428528097</v>
      </c>
      <c r="V9" s="3">
        <f t="shared" si="13"/>
        <v>-139.35440730813207</v>
      </c>
      <c r="W9" s="23">
        <f t="shared" si="0"/>
        <v>12.301743817127253</v>
      </c>
      <c r="X9" s="23">
        <f t="shared" si="1"/>
        <v>13.683142961280147</v>
      </c>
      <c r="Y9" s="23">
        <f t="shared" si="14"/>
        <v>-1.3813991441528941</v>
      </c>
      <c r="Z9" s="3" cm="1">
        <f t="array" ref="Z9">SUMPRODUCT(S9:V9,TRANSPOSE($AH$2:$AH$5))</f>
        <v>-78.265250814662977</v>
      </c>
      <c r="AA9" s="23">
        <f t="shared" ref="AA9:AA63" si="15">Y9-Y8</f>
        <v>-0.21806984941530239</v>
      </c>
      <c r="AC9" s="23"/>
    </row>
    <row r="10" spans="1:36" x14ac:dyDescent="0.35">
      <c r="A10" s="2">
        <v>46028</v>
      </c>
      <c r="B10" s="3">
        <v>13.728</v>
      </c>
      <c r="C10" s="3">
        <v>12.987</v>
      </c>
      <c r="D10" s="3">
        <v>13.305</v>
      </c>
      <c r="E10" s="3">
        <v>13.51</v>
      </c>
      <c r="F10" s="3">
        <v>5.5130999999999999E-2</v>
      </c>
      <c r="G10" s="3">
        <f>NETWORKDAYS($A10,B$4,Feriados!$A$2:$A$1265)</f>
        <v>247</v>
      </c>
      <c r="H10" s="3">
        <f>NETWORKDAYS($A10,C$4,Feriados!$A$2:$A$1265)</f>
        <v>498</v>
      </c>
      <c r="I10" s="3">
        <f>NETWORKDAYS($A10,D$4,Feriados!$A$2:$A$1265)</f>
        <v>1247</v>
      </c>
      <c r="J10" s="3">
        <f>NETWORKDAYS($A10,E$4,Feriados!$A$2:$A$1265)</f>
        <v>2250</v>
      </c>
      <c r="K10" s="3">
        <f t="shared" si="2"/>
        <v>88153.808212611839</v>
      </c>
      <c r="L10" s="3">
        <f t="shared" si="3"/>
        <v>78560.751237921548</v>
      </c>
      <c r="M10" s="3">
        <f t="shared" si="4"/>
        <v>53895.584689866067</v>
      </c>
      <c r="N10" s="3">
        <f t="shared" si="5"/>
        <v>32256.994173243493</v>
      </c>
      <c r="O10" s="3">
        <f t="shared" si="6"/>
        <v>-7.597489159778581</v>
      </c>
      <c r="P10" s="3">
        <f t="shared" si="7"/>
        <v>-13.740608069844294</v>
      </c>
      <c r="Q10" s="3">
        <f t="shared" si="8"/>
        <v>-23.538025300534866</v>
      </c>
      <c r="R10" s="3">
        <f t="shared" si="9"/>
        <v>-25.372995907569102</v>
      </c>
      <c r="S10" s="3">
        <f t="shared" si="10"/>
        <v>-24.188490878426819</v>
      </c>
      <c r="T10" s="3">
        <f t="shared" si="11"/>
        <v>5.7799233603727771</v>
      </c>
      <c r="U10" s="3">
        <f t="shared" si="12"/>
        <v>25.271208653903159</v>
      </c>
      <c r="V10" s="3">
        <f t="shared" si="13"/>
        <v>-77.814536880545347</v>
      </c>
      <c r="W10" s="23">
        <f t="shared" si="0"/>
        <v>12.262522150073686</v>
      </c>
      <c r="X10" s="23">
        <f t="shared" si="1"/>
        <v>13.765387685223462</v>
      </c>
      <c r="Y10" s="23">
        <f t="shared" si="14"/>
        <v>-1.5028655351497768</v>
      </c>
      <c r="Z10" s="3" cm="1">
        <f t="array" ref="Z10">SUMPRODUCT(S10:V10,TRANSPOSE($AH$2:$AH$5))</f>
        <v>-43.555026113711776</v>
      </c>
      <c r="AA10" s="23">
        <f t="shared" si="15"/>
        <v>-0.12146639099688272</v>
      </c>
    </row>
    <row r="11" spans="1:36" x14ac:dyDescent="0.35">
      <c r="A11" s="2">
        <v>46029</v>
      </c>
      <c r="B11" s="3">
        <v>13.686</v>
      </c>
      <c r="C11" s="3">
        <v>12.983000000000001</v>
      </c>
      <c r="D11" s="3">
        <v>13.347</v>
      </c>
      <c r="E11" s="3">
        <v>13.568</v>
      </c>
      <c r="F11" s="3">
        <v>5.5130999999999999E-2</v>
      </c>
      <c r="G11" s="3">
        <f>NETWORKDAYS($A11,B$4,Feriados!$A$2:$A$1265)</f>
        <v>246</v>
      </c>
      <c r="H11" s="3">
        <f>NETWORKDAYS($A11,C$4,Feriados!$A$2:$A$1265)</f>
        <v>497</v>
      </c>
      <c r="I11" s="3">
        <f>NETWORKDAYS($A11,D$4,Feriados!$A$2:$A$1265)</f>
        <v>1246</v>
      </c>
      <c r="J11" s="3">
        <f>NETWORKDAYS($A11,E$4,Feriados!$A$2:$A$1265)</f>
        <v>2249</v>
      </c>
      <c r="K11" s="3">
        <f t="shared" si="2"/>
        <v>88230.628027386105</v>
      </c>
      <c r="L11" s="3">
        <f t="shared" si="3"/>
        <v>78604.313974501347</v>
      </c>
      <c r="M11" s="3">
        <f t="shared" si="4"/>
        <v>53823.586037245797</v>
      </c>
      <c r="N11" s="3">
        <f t="shared" si="5"/>
        <v>32126.419522700962</v>
      </c>
      <c r="O11" s="3">
        <f t="shared" si="6"/>
        <v>-7.5761218433790285</v>
      </c>
      <c r="P11" s="3">
        <f t="shared" si="7"/>
        <v>-13.721106253422578</v>
      </c>
      <c r="Q11" s="3">
        <f t="shared" si="8"/>
        <v>-23.479027319817689</v>
      </c>
      <c r="R11" s="3">
        <f t="shared" si="9"/>
        <v>-25.246156105675048</v>
      </c>
      <c r="S11" s="3">
        <f t="shared" si="10"/>
        <v>28.219738768559182</v>
      </c>
      <c r="T11" s="3">
        <f t="shared" si="11"/>
        <v>0.25140881481638644</v>
      </c>
      <c r="U11" s="3">
        <f t="shared" si="12"/>
        <v>-101.71182741564553</v>
      </c>
      <c r="V11" s="3">
        <f t="shared" si="13"/>
        <v>-148.35825400018439</v>
      </c>
      <c r="W11" s="23">
        <f t="shared" si="0"/>
        <v>12.298222265785519</v>
      </c>
      <c r="X11" s="23">
        <f t="shared" si="1"/>
        <v>13.843142603998349</v>
      </c>
      <c r="Y11" s="23">
        <f t="shared" si="14"/>
        <v>-1.5449203382128296</v>
      </c>
      <c r="Z11" s="3" cm="1">
        <f t="array" ref="Z11">SUMPRODUCT(S11:V11,TRANSPOSE($AH$2:$AH$5))</f>
        <v>-14.965770281734244</v>
      </c>
      <c r="AA11" s="23">
        <f t="shared" si="15"/>
        <v>-4.2054803063052759E-2</v>
      </c>
    </row>
    <row r="12" spans="1:36" x14ac:dyDescent="0.35">
      <c r="A12" s="2">
        <v>46030</v>
      </c>
      <c r="B12" s="3">
        <v>13.718999999999999</v>
      </c>
      <c r="C12" s="3">
        <v>13.010999999999999</v>
      </c>
      <c r="D12" s="3">
        <v>13.31</v>
      </c>
      <c r="E12" s="3">
        <v>13.523</v>
      </c>
      <c r="F12" s="3">
        <v>5.5130999999999999E-2</v>
      </c>
      <c r="G12" s="3">
        <f>NETWORKDAYS($A12,B$4,Feriados!$A$2:$A$1265)</f>
        <v>245</v>
      </c>
      <c r="H12" s="3">
        <f>NETWORKDAYS($A12,C$4,Feriados!$A$2:$A$1265)</f>
        <v>496</v>
      </c>
      <c r="I12" s="3">
        <f>NETWORKDAYS($A12,D$4,Feriados!$A$2:$A$1265)</f>
        <v>1245</v>
      </c>
      <c r="J12" s="3">
        <f>NETWORKDAYS($A12,E$4,Feriados!$A$2:$A$1265)</f>
        <v>2248</v>
      </c>
      <c r="K12" s="3">
        <f t="shared" si="2"/>
        <v>88250.644456081995</v>
      </c>
      <c r="L12" s="3">
        <f t="shared" si="3"/>
        <v>78604.052353716805</v>
      </c>
      <c r="M12" s="3">
        <f t="shared" si="4"/>
        <v>53937.281609632635</v>
      </c>
      <c r="N12" s="3">
        <f t="shared" si="5"/>
        <v>32256.482002121131</v>
      </c>
      <c r="O12" s="3">
        <f t="shared" si="6"/>
        <v>-7.5448463023448396</v>
      </c>
      <c r="P12" s="3">
        <f t="shared" si="7"/>
        <v>-13.690060079642315</v>
      </c>
      <c r="Q12" s="3">
        <f t="shared" si="8"/>
        <v>-23.517417312805517</v>
      </c>
      <c r="R12" s="3">
        <f t="shared" si="9"/>
        <v>-25.347136682870751</v>
      </c>
      <c r="S12" s="3">
        <f t="shared" si="10"/>
        <v>-28.625998841889668</v>
      </c>
      <c r="T12" s="3">
        <f t="shared" si="11"/>
        <v>-43.596965121832909</v>
      </c>
      <c r="U12" s="3">
        <f t="shared" si="12"/>
        <v>84.022091168641055</v>
      </c>
      <c r="V12" s="3">
        <f t="shared" si="13"/>
        <v>112.35086307310485</v>
      </c>
      <c r="W12" s="23">
        <f t="shared" si="0"/>
        <v>12.324175638337032</v>
      </c>
      <c r="X12" s="23">
        <f t="shared" si="1"/>
        <v>13.787948869671851</v>
      </c>
      <c r="Y12" s="23">
        <f t="shared" si="14"/>
        <v>-1.4637732313348195</v>
      </c>
      <c r="Z12" s="3" cm="1">
        <f t="array" ref="Z12">SUMPRODUCT(S12:V12,TRANSPOSE($AH$2:$AH$5))</f>
        <v>28.908145932442654</v>
      </c>
      <c r="AA12" s="23">
        <f t="shared" si="15"/>
        <v>8.1147106878010078E-2</v>
      </c>
    </row>
    <row r="13" spans="1:36" x14ac:dyDescent="0.35">
      <c r="A13" s="2">
        <v>46031</v>
      </c>
      <c r="B13" s="3">
        <v>13.763</v>
      </c>
      <c r="C13" s="3">
        <v>13.07</v>
      </c>
      <c r="D13" s="3">
        <v>13.358000000000001</v>
      </c>
      <c r="E13" s="3">
        <v>13.545999999999999</v>
      </c>
      <c r="F13" s="3">
        <v>5.5130999999999999E-2</v>
      </c>
      <c r="G13" s="3">
        <f>NETWORKDAYS($A13,B$4,Feriados!$A$2:$A$1265)</f>
        <v>244</v>
      </c>
      <c r="H13" s="3">
        <f>NETWORKDAYS($A13,C$4,Feriados!$A$2:$A$1265)</f>
        <v>495</v>
      </c>
      <c r="I13" s="3">
        <f>NETWORKDAYS($A13,D$4,Feriados!$A$2:$A$1265)</f>
        <v>1244</v>
      </c>
      <c r="J13" s="3">
        <f>NETWORKDAYS($A13,E$4,Feriados!$A$2:$A$1265)</f>
        <v>2247</v>
      </c>
      <c r="K13" s="3">
        <f t="shared" si="2"/>
        <v>88262.611781751591</v>
      </c>
      <c r="L13" s="3">
        <f t="shared" si="3"/>
        <v>78561.628920958814</v>
      </c>
      <c r="M13" s="3">
        <f t="shared" si="4"/>
        <v>53851.326573747348</v>
      </c>
      <c r="N13" s="3">
        <f t="shared" si="5"/>
        <v>32214.477953470589</v>
      </c>
      <c r="O13" s="3">
        <f t="shared" si="6"/>
        <v>-7.5121633664847485</v>
      </c>
      <c r="P13" s="3">
        <f t="shared" si="7"/>
        <v>-13.647960146851934</v>
      </c>
      <c r="Q13" s="3">
        <f t="shared" si="8"/>
        <v>-23.451146017288991</v>
      </c>
      <c r="R13" s="3">
        <f t="shared" si="9"/>
        <v>-25.297743800026371</v>
      </c>
      <c r="S13" s="3">
        <f t="shared" si="10"/>
        <v>-36.686137125492678</v>
      </c>
      <c r="T13" s="3">
        <f t="shared" si="11"/>
        <v>-85.758632861121441</v>
      </c>
      <c r="U13" s="3">
        <f t="shared" si="12"/>
        <v>-115.69119860950013</v>
      </c>
      <c r="V13" s="3">
        <f t="shared" si="13"/>
        <v>-59.787369743135059</v>
      </c>
      <c r="W13" s="23">
        <f t="shared" si="0"/>
        <v>12.400373455113911</v>
      </c>
      <c r="X13" s="23">
        <f t="shared" si="1"/>
        <v>13.779605706824283</v>
      </c>
      <c r="Y13" s="23">
        <f t="shared" si="14"/>
        <v>-1.3792322517103717</v>
      </c>
      <c r="Z13" s="3" cm="1">
        <f t="array" ref="Z13">SUMPRODUCT(S13:V13,TRANSPOSE($AH$2:$AH$5))</f>
        <v>30.37304280377969</v>
      </c>
      <c r="AA13" s="23">
        <f t="shared" si="15"/>
        <v>8.4540979624447843E-2</v>
      </c>
    </row>
    <row r="14" spans="1:36" x14ac:dyDescent="0.35">
      <c r="A14" s="2">
        <v>46034</v>
      </c>
      <c r="B14" s="3">
        <v>13.741</v>
      </c>
      <c r="C14" s="3">
        <v>13.022</v>
      </c>
      <c r="D14" s="3">
        <v>13.289</v>
      </c>
      <c r="E14" s="3">
        <v>13.481999999999999</v>
      </c>
      <c r="F14" s="3">
        <v>5.5130999999999999E-2</v>
      </c>
      <c r="G14" s="3">
        <f>NETWORKDAYS($A14,B$4,Feriados!$A$2:$A$1265)</f>
        <v>243</v>
      </c>
      <c r="H14" s="3">
        <f>NETWORKDAYS($A14,C$4,Feriados!$A$2:$A$1265)</f>
        <v>494</v>
      </c>
      <c r="I14" s="3">
        <f>NETWORKDAYS($A14,D$4,Feriados!$A$2:$A$1265)</f>
        <v>1243</v>
      </c>
      <c r="J14" s="3">
        <f>NETWORKDAYS($A14,E$4,Feriados!$A$2:$A$1265)</f>
        <v>2246</v>
      </c>
      <c r="K14" s="3">
        <f t="shared" si="2"/>
        <v>88324.257458924403</v>
      </c>
      <c r="L14" s="3">
        <f t="shared" si="3"/>
        <v>78665.383833298212</v>
      </c>
      <c r="M14" s="3">
        <f t="shared" si="4"/>
        <v>54040.182354655692</v>
      </c>
      <c r="N14" s="3">
        <f t="shared" si="5"/>
        <v>32393.090332140175</v>
      </c>
      <c r="O14" s="3">
        <f t="shared" si="6"/>
        <v>-7.4880491372973905</v>
      </c>
      <c r="P14" s="3">
        <f t="shared" si="7"/>
        <v>-13.64416887428902</v>
      </c>
      <c r="Q14" s="3">
        <f t="shared" si="8"/>
        <v>-23.528793079294545</v>
      </c>
      <c r="R14" s="3">
        <f t="shared" si="9"/>
        <v>-25.441025430082483</v>
      </c>
      <c r="S14" s="3">
        <f t="shared" si="10"/>
        <v>12.985616671401658</v>
      </c>
      <c r="T14" s="3">
        <f t="shared" si="11"/>
        <v>60.443100698976195</v>
      </c>
      <c r="U14" s="3">
        <f t="shared" si="12"/>
        <v>159.1670060549659</v>
      </c>
      <c r="V14" s="3">
        <f t="shared" si="13"/>
        <v>160.85221482905399</v>
      </c>
      <c r="W14" s="23">
        <f t="shared" si="0"/>
        <v>12.330246711947535</v>
      </c>
      <c r="X14" s="23">
        <f t="shared" si="1"/>
        <v>13.721637739257698</v>
      </c>
      <c r="Y14" s="23">
        <f t="shared" si="14"/>
        <v>-1.3913910273101635</v>
      </c>
      <c r="Z14" s="3" cm="1">
        <f t="array" ref="Z14">SUMPRODUCT(S14:V14,TRANSPOSE($AH$2:$AH$5))</f>
        <v>-4.3956539163025141</v>
      </c>
      <c r="AA14" s="23">
        <f t="shared" si="15"/>
        <v>-1.2158775599791838E-2</v>
      </c>
    </row>
    <row r="15" spans="1:36" x14ac:dyDescent="0.35">
      <c r="A15" s="2">
        <v>46035</v>
      </c>
      <c r="B15" s="3">
        <v>13.698</v>
      </c>
      <c r="C15" s="3">
        <v>12.971</v>
      </c>
      <c r="D15" s="3">
        <v>13.291</v>
      </c>
      <c r="E15" s="3">
        <v>13.532</v>
      </c>
      <c r="F15" s="3">
        <v>5.5130999999999999E-2</v>
      </c>
      <c r="G15" s="3">
        <f>NETWORKDAYS($A15,B$4,Feriados!$A$2:$A$1265)</f>
        <v>242</v>
      </c>
      <c r="H15" s="3">
        <f>NETWORKDAYS($A15,C$4,Feriados!$A$2:$A$1265)</f>
        <v>493</v>
      </c>
      <c r="I15" s="3">
        <f>NETWORKDAYS($A15,D$4,Feriados!$A$2:$A$1265)</f>
        <v>1242</v>
      </c>
      <c r="J15" s="3">
        <f>NETWORKDAYS($A15,E$4,Feriados!$A$2:$A$1265)</f>
        <v>2245</v>
      </c>
      <c r="K15" s="3">
        <f t="shared" si="2"/>
        <v>88401.490674575616</v>
      </c>
      <c r="L15" s="3">
        <f t="shared" si="3"/>
        <v>78773.13036997091</v>
      </c>
      <c r="M15" s="3">
        <f t="shared" si="4"/>
        <v>54062.241653360703</v>
      </c>
      <c r="N15" s="3">
        <f t="shared" si="5"/>
        <v>32282.416819054943</v>
      </c>
      <c r="O15" s="3">
        <f t="shared" si="6"/>
        <v>-7.4665776893952494</v>
      </c>
      <c r="P15" s="3">
        <f t="shared" si="7"/>
        <v>-13.641354956664555</v>
      </c>
      <c r="Q15" s="3">
        <f t="shared" si="8"/>
        <v>-23.519045606206824</v>
      </c>
      <c r="R15" s="3">
        <f t="shared" si="9"/>
        <v>-25.331654539038549</v>
      </c>
      <c r="S15" s="3">
        <f t="shared" si="10"/>
        <v>28.539169271520223</v>
      </c>
      <c r="T15" s="3">
        <f t="shared" si="11"/>
        <v>64.37752391154936</v>
      </c>
      <c r="U15" s="3">
        <f t="shared" si="12"/>
        <v>-7.7335942289355444</v>
      </c>
      <c r="V15" s="3">
        <f t="shared" si="13"/>
        <v>-128.53214771624698</v>
      </c>
      <c r="W15" s="23">
        <f t="shared" si="0"/>
        <v>12.274469567408829</v>
      </c>
      <c r="X15" s="23">
        <f t="shared" si="1"/>
        <v>13.831137308216901</v>
      </c>
      <c r="Y15" s="23">
        <f t="shared" si="14"/>
        <v>-1.5566677408080718</v>
      </c>
      <c r="Z15" s="3" cm="1">
        <f t="array" ref="Z15">SUMPRODUCT(S15:V15,TRANSPOSE($AH$2:$AH$5))</f>
        <v>-59.357476534256975</v>
      </c>
      <c r="AA15" s="23">
        <f t="shared" si="15"/>
        <v>-0.16527671349790829</v>
      </c>
    </row>
    <row r="16" spans="1:36" x14ac:dyDescent="0.35">
      <c r="A16" s="2">
        <v>46036</v>
      </c>
      <c r="B16" s="3">
        <v>13.74</v>
      </c>
      <c r="C16" s="3">
        <v>13.045999999999999</v>
      </c>
      <c r="D16" s="3">
        <v>13.339</v>
      </c>
      <c r="E16" s="3">
        <v>13.557</v>
      </c>
      <c r="F16" s="3">
        <v>5.5130999999999999E-2</v>
      </c>
      <c r="G16" s="3">
        <f>NETWORKDAYS($A16,B$4,Feriados!$A$2:$A$1265)</f>
        <v>241</v>
      </c>
      <c r="H16" s="3">
        <f>NETWORKDAYS($A16,C$4,Feriados!$A$2:$A$1265)</f>
        <v>492</v>
      </c>
      <c r="I16" s="3">
        <f>NETWORKDAYS($A16,D$4,Feriados!$A$2:$A$1265)</f>
        <v>1241</v>
      </c>
      <c r="J16" s="3">
        <f>NETWORKDAYS($A16,E$4,Feriados!$A$2:$A$1265)</f>
        <v>2244</v>
      </c>
      <c r="K16" s="3">
        <f t="shared" si="2"/>
        <v>88415.301592368109</v>
      </c>
      <c r="L16" s="3">
        <f t="shared" si="3"/>
        <v>78709.2115529086</v>
      </c>
      <c r="M16" s="3">
        <f t="shared" si="4"/>
        <v>53976.304831679729</v>
      </c>
      <c r="N16" s="3">
        <f t="shared" si="5"/>
        <v>32235.415475650221</v>
      </c>
      <c r="O16" s="3">
        <f t="shared" si="6"/>
        <v>-7.434139573323983</v>
      </c>
      <c r="P16" s="3">
        <f t="shared" si="7"/>
        <v>-13.593613698213254</v>
      </c>
      <c r="Q16" s="3">
        <f t="shared" si="8"/>
        <v>-23.452816958631953</v>
      </c>
      <c r="R16" s="3">
        <f t="shared" si="9"/>
        <v>-25.277939687711235</v>
      </c>
      <c r="S16" s="3">
        <f t="shared" si="10"/>
        <v>-34.925708031310933</v>
      </c>
      <c r="T16" s="3">
        <f t="shared" si="11"/>
        <v>-107.34723156658583</v>
      </c>
      <c r="U16" s="3">
        <f t="shared" si="12"/>
        <v>-115.74187612689275</v>
      </c>
      <c r="V16" s="3">
        <f t="shared" si="13"/>
        <v>-64.798962621236569</v>
      </c>
      <c r="W16" s="23">
        <f t="shared" si="0"/>
        <v>12.38363456153715</v>
      </c>
      <c r="X16" s="23">
        <f t="shared" si="1"/>
        <v>13.827309260365194</v>
      </c>
      <c r="Y16" s="23">
        <f t="shared" si="14"/>
        <v>-1.443674698828044</v>
      </c>
      <c r="Z16" s="3" cm="1">
        <f t="array" ref="Z16">SUMPRODUCT(S16:V16,TRANSPOSE($AH$2:$AH$5))</f>
        <v>40.639911996335996</v>
      </c>
      <c r="AA16" s="23">
        <f t="shared" si="15"/>
        <v>0.1129930419800278</v>
      </c>
    </row>
    <row r="17" spans="1:27" x14ac:dyDescent="0.35">
      <c r="A17" s="2">
        <v>46037</v>
      </c>
      <c r="B17" s="3">
        <v>13.753</v>
      </c>
      <c r="C17" s="3">
        <v>13.087</v>
      </c>
      <c r="D17" s="3">
        <v>13.372</v>
      </c>
      <c r="E17" s="3">
        <v>13.585000000000001</v>
      </c>
      <c r="F17" s="3">
        <v>5.5130999999999999E-2</v>
      </c>
      <c r="G17" s="3">
        <f>NETWORKDAYS($A17,B$4,Feriados!$A$2:$A$1265)</f>
        <v>240</v>
      </c>
      <c r="H17" s="3">
        <f>NETWORKDAYS($A17,C$4,Feriados!$A$2:$A$1265)</f>
        <v>491</v>
      </c>
      <c r="I17" s="3">
        <f>NETWORKDAYS($A17,D$4,Feriados!$A$2:$A$1265)</f>
        <v>1240</v>
      </c>
      <c r="J17" s="3">
        <f>NETWORKDAYS($A17,E$4,Feriados!$A$2:$A$1265)</f>
        <v>2243</v>
      </c>
      <c r="K17" s="3">
        <f t="shared" si="2"/>
        <v>88450.855739344348</v>
      </c>
      <c r="L17" s="3">
        <f t="shared" si="3"/>
        <v>78691.90335292797</v>
      </c>
      <c r="M17" s="3">
        <f t="shared" si="4"/>
        <v>53925.827387378951</v>
      </c>
      <c r="N17" s="3">
        <f t="shared" si="5"/>
        <v>32180.986369678132</v>
      </c>
      <c r="O17" s="3">
        <f t="shared" si="6"/>
        <v>-7.405423173713837</v>
      </c>
      <c r="P17" s="3">
        <f t="shared" si="7"/>
        <v>-13.558083931407646</v>
      </c>
      <c r="Q17" s="3">
        <f t="shared" si="8"/>
        <v>-23.405189056069212</v>
      </c>
      <c r="R17" s="3">
        <f t="shared" si="9"/>
        <v>-25.217794528811737</v>
      </c>
      <c r="S17" s="3">
        <f t="shared" si="10"/>
        <v>-13.190092944656499</v>
      </c>
      <c r="T17" s="3">
        <f t="shared" si="11"/>
        <v>-60.701375401869882</v>
      </c>
      <c r="U17" s="3">
        <f t="shared" si="12"/>
        <v>-80.235120917532186</v>
      </c>
      <c r="V17" s="3">
        <f t="shared" si="13"/>
        <v>-72.200812877970748</v>
      </c>
      <c r="W17" s="23">
        <f t="shared" si="0"/>
        <v>12.45383427056932</v>
      </c>
      <c r="X17" s="23">
        <f t="shared" si="1"/>
        <v>13.848883279476286</v>
      </c>
      <c r="Y17" s="23">
        <f t="shared" si="14"/>
        <v>-1.395049008906966</v>
      </c>
      <c r="Z17" s="3" cm="1">
        <f t="array" ref="Z17">SUMPRODUCT(S17:V17,TRANSPOSE($AH$2:$AH$5))</f>
        <v>17.492103625657364</v>
      </c>
      <c r="AA17" s="23">
        <f t="shared" si="15"/>
        <v>4.8625689921077964E-2</v>
      </c>
    </row>
    <row r="18" spans="1:27" x14ac:dyDescent="0.35">
      <c r="A18" s="2">
        <v>46038</v>
      </c>
      <c r="B18" s="3">
        <v>13.811999999999999</v>
      </c>
      <c r="C18" s="3">
        <v>13.204000000000001</v>
      </c>
      <c r="D18" s="3">
        <v>13.512</v>
      </c>
      <c r="E18" s="3">
        <v>13.728999999999999</v>
      </c>
      <c r="F18" s="3">
        <v>5.5130999999999999E-2</v>
      </c>
      <c r="G18" s="3">
        <f>NETWORKDAYS($A18,B$4,Feriados!$A$2:$A$1265)</f>
        <v>239</v>
      </c>
      <c r="H18" s="3">
        <f>NETWORKDAYS($A18,C$4,Feriados!$A$2:$A$1265)</f>
        <v>490</v>
      </c>
      <c r="I18" s="3">
        <f>NETWORKDAYS($A18,D$4,Feriados!$A$2:$A$1265)</f>
        <v>1239</v>
      </c>
      <c r="J18" s="3">
        <f>NETWORKDAYS($A18,E$4,Feriados!$A$2:$A$1265)</f>
        <v>2242</v>
      </c>
      <c r="K18" s="3">
        <f t="shared" si="2"/>
        <v>88452.586099155931</v>
      </c>
      <c r="L18" s="3">
        <f t="shared" si="3"/>
        <v>78572.175017089932</v>
      </c>
      <c r="M18" s="3">
        <f t="shared" si="4"/>
        <v>53626.312684926444</v>
      </c>
      <c r="N18" s="3">
        <f t="shared" si="5"/>
        <v>31836.367305566229</v>
      </c>
      <c r="O18" s="3">
        <f t="shared" si="6"/>
        <v>-7.3708884708011464</v>
      </c>
      <c r="P18" s="3">
        <f t="shared" si="7"/>
        <v>-13.495921451529723</v>
      </c>
      <c r="Q18" s="3">
        <f t="shared" si="8"/>
        <v>-23.227738391907611</v>
      </c>
      <c r="R18" s="3">
        <f t="shared" si="9"/>
        <v>-24.905046310687986</v>
      </c>
      <c r="S18" s="3">
        <f t="shared" si="10"/>
        <v>-47.033481466089142</v>
      </c>
      <c r="T18" s="3">
        <f t="shared" si="11"/>
        <v>-163.11196907554404</v>
      </c>
      <c r="U18" s="3">
        <f t="shared" si="12"/>
        <v>-329.24455034944549</v>
      </c>
      <c r="V18" s="3">
        <f t="shared" si="13"/>
        <v>-362.36076370737283</v>
      </c>
      <c r="W18" s="23">
        <f t="shared" si="0"/>
        <v>12.628086795513438</v>
      </c>
      <c r="X18" s="23">
        <f t="shared" si="1"/>
        <v>13.997631643080899</v>
      </c>
      <c r="Y18" s="23">
        <f t="shared" si="14"/>
        <v>-1.369544847567461</v>
      </c>
      <c r="Z18" s="3" cm="1">
        <f t="array" ref="Z18">SUMPRODUCT(S18:V18,TRANSPOSE($AH$2:$AH$5))</f>
        <v>9.984087597449502</v>
      </c>
      <c r="AA18" s="23">
        <f t="shared" si="15"/>
        <v>2.550416133950506E-2</v>
      </c>
    </row>
    <row r="19" spans="1:27" x14ac:dyDescent="0.35">
      <c r="A19" s="2">
        <v>46041</v>
      </c>
      <c r="B19" s="3">
        <v>13.762</v>
      </c>
      <c r="C19" s="3">
        <v>13.14</v>
      </c>
      <c r="D19" s="3">
        <v>13.484</v>
      </c>
      <c r="E19" s="3">
        <v>13.708</v>
      </c>
      <c r="F19" s="3">
        <v>5.5130999999999999E-2</v>
      </c>
      <c r="G19" s="3">
        <f>NETWORKDAYS($A19,B$4,Feriados!$A$2:$A$1265)</f>
        <v>238</v>
      </c>
      <c r="H19" s="3">
        <f>NETWORKDAYS($A19,C$4,Feriados!$A$2:$A$1265)</f>
        <v>489</v>
      </c>
      <c r="I19" s="3">
        <f>NETWORKDAYS($A19,D$4,Feriados!$A$2:$A$1265)</f>
        <v>1238</v>
      </c>
      <c r="J19" s="3">
        <f>NETWORKDAYS($A19,E$4,Feriados!$A$2:$A$1265)</f>
        <v>2241</v>
      </c>
      <c r="K19" s="3">
        <f t="shared" si="2"/>
        <v>88534.74443624691</v>
      </c>
      <c r="L19" s="3">
        <f t="shared" si="3"/>
        <v>78697.165471313841</v>
      </c>
      <c r="M19" s="3">
        <f t="shared" si="4"/>
        <v>53718.355059591602</v>
      </c>
      <c r="N19" s="3">
        <f t="shared" si="5"/>
        <v>31904.975971864493</v>
      </c>
      <c r="O19" s="3">
        <f t="shared" si="6"/>
        <v>-7.3500947173152786</v>
      </c>
      <c r="P19" s="3">
        <f t="shared" si="7"/>
        <v>-13.4974346698824</v>
      </c>
      <c r="Q19" s="3">
        <f t="shared" si="8"/>
        <v>-23.254562549260285</v>
      </c>
      <c r="R19" s="3">
        <f t="shared" si="9"/>
        <v>-24.952192762521602</v>
      </c>
      <c r="S19" s="3">
        <f t="shared" si="10"/>
        <v>33.393541848650784</v>
      </c>
      <c r="T19" s="3">
        <f t="shared" si="11"/>
        <v>81.672828415234108</v>
      </c>
      <c r="U19" s="3">
        <f t="shared" si="12"/>
        <v>62.477652218825824</v>
      </c>
      <c r="V19" s="3">
        <f t="shared" si="13"/>
        <v>51.056958639030199</v>
      </c>
      <c r="W19" s="23">
        <f t="shared" si="0"/>
        <v>12.553356609900046</v>
      </c>
      <c r="X19" s="23">
        <f t="shared" si="1"/>
        <v>13.985092312382474</v>
      </c>
      <c r="Y19" s="23">
        <f t="shared" si="14"/>
        <v>-1.4317357024824275</v>
      </c>
      <c r="Z19" s="3" cm="1">
        <f t="array" ref="Z19">SUMPRODUCT(S19:V19,TRANSPOSE($AH$2:$AH$5))</f>
        <v>-22.352908090284398</v>
      </c>
      <c r="AA19" s="23">
        <f t="shared" si="15"/>
        <v>-6.2190854914966565E-2</v>
      </c>
    </row>
    <row r="20" spans="1:27" x14ac:dyDescent="0.35">
      <c r="A20" s="2">
        <v>46042</v>
      </c>
      <c r="B20" s="3">
        <v>13.798</v>
      </c>
      <c r="C20" s="3">
        <v>13.196999999999999</v>
      </c>
      <c r="D20" s="3">
        <v>13.571</v>
      </c>
      <c r="E20" s="3">
        <v>13.804</v>
      </c>
      <c r="F20" s="3">
        <v>5.5130999999999999E-2</v>
      </c>
      <c r="G20" s="3">
        <f>NETWORKDAYS($A20,B$4,Feriados!$A$2:$A$1265)</f>
        <v>237</v>
      </c>
      <c r="H20" s="3">
        <f>NETWORKDAYS($A20,C$4,Feriados!$A$2:$A$1265)</f>
        <v>488</v>
      </c>
      <c r="I20" s="3">
        <f>NETWORKDAYS($A20,D$4,Feriados!$A$2:$A$1265)</f>
        <v>1237</v>
      </c>
      <c r="J20" s="3">
        <f>NETWORKDAYS($A20,E$4,Feriados!$A$2:$A$1265)</f>
        <v>2240</v>
      </c>
      <c r="K20" s="3">
        <f t="shared" si="2"/>
        <v>88553.701172237415</v>
      </c>
      <c r="L20" s="3">
        <f t="shared" si="3"/>
        <v>78658.970086552712</v>
      </c>
      <c r="M20" s="3">
        <f t="shared" si="4"/>
        <v>53543.530319708974</v>
      </c>
      <c r="N20" s="3">
        <f t="shared" si="5"/>
        <v>31682.685217922317</v>
      </c>
      <c r="O20" s="3">
        <f t="shared" si="6"/>
        <v>-7.3184632006742483</v>
      </c>
      <c r="P20" s="3">
        <f t="shared" si="7"/>
        <v>-13.45651561880171</v>
      </c>
      <c r="Q20" s="3">
        <f t="shared" si="8"/>
        <v>-23.14241682165677</v>
      </c>
      <c r="R20" s="3">
        <f t="shared" si="9"/>
        <v>-24.746394555881508</v>
      </c>
      <c r="S20" s="3">
        <f t="shared" si="10"/>
        <v>-29.853353964645066</v>
      </c>
      <c r="T20" s="3">
        <f t="shared" si="11"/>
        <v>-81.581919057120103</v>
      </c>
      <c r="U20" s="3">
        <f t="shared" si="12"/>
        <v>-204.44020621053642</v>
      </c>
      <c r="V20" s="3">
        <f t="shared" si="13"/>
        <v>-239.88028624522849</v>
      </c>
      <c r="W20" s="23">
        <f t="shared" si="0"/>
        <v>12.632435631883588</v>
      </c>
      <c r="X20" s="23">
        <f t="shared" si="1"/>
        <v>14.092017337909969</v>
      </c>
      <c r="Y20" s="23">
        <f t="shared" si="14"/>
        <v>-1.4595817060263805</v>
      </c>
      <c r="Z20" s="3" cm="1">
        <f t="array" ref="Z20">SUMPRODUCT(S20:V20,TRANSPOSE($AH$2:$AH$5))</f>
        <v>-8.9100173328918686</v>
      </c>
      <c r="AA20" s="23">
        <f t="shared" si="15"/>
        <v>-2.7846003543952946E-2</v>
      </c>
    </row>
    <row r="21" spans="1:27" x14ac:dyDescent="0.35">
      <c r="A21" s="2">
        <v>46043</v>
      </c>
      <c r="B21" s="3">
        <v>13.749000000000001</v>
      </c>
      <c r="C21" s="3">
        <v>13.105</v>
      </c>
      <c r="D21" s="3">
        <v>13.468999999999999</v>
      </c>
      <c r="E21" s="3">
        <v>13.712999999999999</v>
      </c>
      <c r="F21" s="3">
        <v>5.5130999999999999E-2</v>
      </c>
      <c r="G21" s="3">
        <f>NETWORKDAYS($A21,B$4,Feriados!$A$2:$A$1265)</f>
        <v>236</v>
      </c>
      <c r="H21" s="3">
        <f>NETWORKDAYS($A21,C$4,Feriados!$A$2:$A$1265)</f>
        <v>487</v>
      </c>
      <c r="I21" s="3">
        <f>NETWORKDAYS($A21,D$4,Feriados!$A$2:$A$1265)</f>
        <v>1236</v>
      </c>
      <c r="J21" s="3">
        <f>NETWORKDAYS($A21,E$4,Feriados!$A$2:$A$1265)</f>
        <v>2239</v>
      </c>
      <c r="K21" s="3">
        <f t="shared" si="2"/>
        <v>88634.87578977122</v>
      </c>
      <c r="L21" s="3">
        <f t="shared" si="3"/>
        <v>78821.426666039799</v>
      </c>
      <c r="M21" s="3">
        <f t="shared" si="4"/>
        <v>53807.184189232488</v>
      </c>
      <c r="N21" s="3">
        <f t="shared" si="5"/>
        <v>31925.04638146791</v>
      </c>
      <c r="O21" s="3">
        <f t="shared" si="6"/>
        <v>-7.2974060983846796</v>
      </c>
      <c r="P21" s="3">
        <f t="shared" si="7"/>
        <v>-13.467621667168864</v>
      </c>
      <c r="Q21" s="3">
        <f t="shared" si="8"/>
        <v>-23.258460655672884</v>
      </c>
      <c r="R21" s="3">
        <f t="shared" si="9"/>
        <v>-24.944509718809861</v>
      </c>
      <c r="S21" s="3">
        <f t="shared" si="10"/>
        <v>32.354076540534152</v>
      </c>
      <c r="T21" s="3">
        <f t="shared" si="11"/>
        <v>119.09110268866061</v>
      </c>
      <c r="U21" s="3">
        <f t="shared" si="12"/>
        <v>234.1347858229492</v>
      </c>
      <c r="V21" s="3">
        <f t="shared" si="13"/>
        <v>224.89418235809717</v>
      </c>
      <c r="W21" s="23">
        <f t="shared" si="0"/>
        <v>12.502812166664224</v>
      </c>
      <c r="X21" s="23">
        <f t="shared" si="1"/>
        <v>14.014403751693894</v>
      </c>
      <c r="Y21" s="23">
        <f t="shared" si="14"/>
        <v>-1.5115915850296702</v>
      </c>
      <c r="Z21" s="3" cm="1">
        <f t="array" ref="Z21">SUMPRODUCT(S21:V21,TRANSPOSE($AH$2:$AH$5))</f>
        <v>-19.610296054336246</v>
      </c>
      <c r="AA21" s="23">
        <f t="shared" si="15"/>
        <v>-5.2009879003289683E-2</v>
      </c>
    </row>
    <row r="22" spans="1:27" x14ac:dyDescent="0.35">
      <c r="A22" s="2">
        <v>46044</v>
      </c>
      <c r="B22" s="3">
        <v>13.702999999999999</v>
      </c>
      <c r="C22" s="3">
        <v>13.026999999999999</v>
      </c>
      <c r="D22" s="3">
        <v>13.401999999999999</v>
      </c>
      <c r="E22" s="3">
        <v>13.651</v>
      </c>
      <c r="F22" s="3">
        <v>5.5130999999999999E-2</v>
      </c>
      <c r="G22" s="3">
        <f>NETWORKDAYS($A22,B$4,Feriados!$A$2:$A$1265)</f>
        <v>235</v>
      </c>
      <c r="H22" s="3">
        <f>NETWORKDAYS($A22,C$4,Feriados!$A$2:$A$1265)</f>
        <v>486</v>
      </c>
      <c r="I22" s="3">
        <f>NETWORKDAYS($A22,D$4,Feriados!$A$2:$A$1265)</f>
        <v>1235</v>
      </c>
      <c r="J22" s="3">
        <f>NETWORKDAYS($A22,E$4,Feriados!$A$2:$A$1265)</f>
        <v>2238</v>
      </c>
      <c r="K22" s="3">
        <f t="shared" si="2"/>
        <v>88713.65410856661</v>
      </c>
      <c r="L22" s="3">
        <f t="shared" si="3"/>
        <v>78964.943229530967</v>
      </c>
      <c r="M22" s="3">
        <f t="shared" si="4"/>
        <v>53990.226770812696</v>
      </c>
      <c r="N22" s="3">
        <f t="shared" si="5"/>
        <v>32096.413916687525</v>
      </c>
      <c r="O22" s="3">
        <f t="shared" si="6"/>
        <v>-7.2758856705045529</v>
      </c>
      <c r="P22" s="3">
        <f t="shared" si="7"/>
        <v>-13.473730468935592</v>
      </c>
      <c r="Q22" s="3">
        <f t="shared" si="8"/>
        <v>-23.332477431024873</v>
      </c>
      <c r="R22" s="3">
        <f t="shared" si="9"/>
        <v>-25.080881258716531</v>
      </c>
      <c r="S22" s="3">
        <f t="shared" si="10"/>
        <v>29.913025423724321</v>
      </c>
      <c r="T22" s="3">
        <f t="shared" si="11"/>
        <v>100.06152275590284</v>
      </c>
      <c r="U22" s="3">
        <f t="shared" si="12"/>
        <v>153.37814286483626</v>
      </c>
      <c r="V22" s="3">
        <f t="shared" si="13"/>
        <v>153.76693789904675</v>
      </c>
      <c r="W22" s="23">
        <f t="shared" si="0"/>
        <v>12.397735002043175</v>
      </c>
      <c r="X22" s="23">
        <f t="shared" si="1"/>
        <v>13.958346398903455</v>
      </c>
      <c r="Y22" s="23">
        <f t="shared" si="14"/>
        <v>-1.5606113968602795</v>
      </c>
      <c r="Z22" s="3" cm="1">
        <f t="array" ref="Z22">SUMPRODUCT(S22:V22,TRANSPOSE($AH$2:$AH$5))</f>
        <v>-18.115421100516549</v>
      </c>
      <c r="AA22" s="23">
        <f t="shared" si="15"/>
        <v>-4.9019811830609328E-2</v>
      </c>
    </row>
    <row r="23" spans="1:27" x14ac:dyDescent="0.35">
      <c r="A23" s="2">
        <v>46045</v>
      </c>
      <c r="B23" s="3">
        <v>13.701000000000001</v>
      </c>
      <c r="C23" s="3">
        <v>13.007</v>
      </c>
      <c r="D23" s="3">
        <v>13.356999999999999</v>
      </c>
      <c r="E23" s="3">
        <v>13.590999999999999</v>
      </c>
      <c r="F23" s="3">
        <v>5.5130999999999999E-2</v>
      </c>
      <c r="G23" s="3">
        <f>NETWORKDAYS($A23,B$4,Feriados!$A$2:$A$1265)</f>
        <v>234</v>
      </c>
      <c r="H23" s="3">
        <f>NETWORKDAYS($A23,C$4,Feriados!$A$2:$A$1265)</f>
        <v>485</v>
      </c>
      <c r="I23" s="3">
        <f>NETWORKDAYS($A23,D$4,Feriados!$A$2:$A$1265)</f>
        <v>1234</v>
      </c>
      <c r="J23" s="3">
        <f>NETWORKDAYS($A23,E$4,Feriados!$A$2:$A$1265)</f>
        <v>2237</v>
      </c>
      <c r="K23" s="3">
        <f t="shared" si="2"/>
        <v>88760.323996613486</v>
      </c>
      <c r="L23" s="3">
        <f t="shared" si="3"/>
        <v>79030.236720867775</v>
      </c>
      <c r="M23" s="3">
        <f t="shared" si="4"/>
        <v>54122.265505923591</v>
      </c>
      <c r="N23" s="3">
        <f t="shared" si="5"/>
        <v>32263.60374236196</v>
      </c>
      <c r="O23" s="3">
        <f t="shared" si="6"/>
        <v>-7.2488633216944658</v>
      </c>
      <c r="P23" s="3">
        <f t="shared" si="7"/>
        <v>-13.45950644496558</v>
      </c>
      <c r="Q23" s="3">
        <f t="shared" si="8"/>
        <v>-23.379878107495241</v>
      </c>
      <c r="R23" s="3">
        <f t="shared" si="9"/>
        <v>-25.213573108807282</v>
      </c>
      <c r="S23" s="3">
        <f t="shared" si="10"/>
        <v>-2.2388365997321671</v>
      </c>
      <c r="T23" s="3">
        <f t="shared" si="11"/>
        <v>21.759328484928119</v>
      </c>
      <c r="U23" s="3">
        <f t="shared" si="12"/>
        <v>102.27338318987313</v>
      </c>
      <c r="V23" s="3">
        <f t="shared" si="13"/>
        <v>149.4947517180226</v>
      </c>
      <c r="W23" s="23">
        <f t="shared" si="0"/>
        <v>12.363819864455582</v>
      </c>
      <c r="X23" s="23">
        <f t="shared" si="1"/>
        <v>13.879555151944366</v>
      </c>
      <c r="Y23" s="23">
        <f t="shared" si="14"/>
        <v>-1.5157352874887842</v>
      </c>
      <c r="Z23" s="3" cm="1">
        <f t="array" ref="Z23">SUMPRODUCT(S23:V23,TRANSPOSE($AH$2:$AH$5))</f>
        <v>15.774480097751479</v>
      </c>
      <c r="AA23" s="23">
        <f t="shared" si="15"/>
        <v>4.4876109371495332E-2</v>
      </c>
    </row>
    <row r="24" spans="1:27" x14ac:dyDescent="0.35">
      <c r="A24" s="2">
        <v>46048</v>
      </c>
      <c r="B24" s="3">
        <v>13.683999999999999</v>
      </c>
      <c r="C24" s="3">
        <v>12.977</v>
      </c>
      <c r="D24" s="3">
        <v>13.305999999999999</v>
      </c>
      <c r="E24" s="3">
        <v>13.542</v>
      </c>
      <c r="F24" s="3">
        <v>5.5130999999999999E-2</v>
      </c>
      <c r="G24" s="3">
        <f>NETWORKDAYS($A24,B$4,Feriados!$A$2:$A$1265)</f>
        <v>233</v>
      </c>
      <c r="H24" s="3">
        <f>NETWORKDAYS($A24,C$4,Feriados!$A$2:$A$1265)</f>
        <v>484</v>
      </c>
      <c r="I24" s="3">
        <f>NETWORKDAYS($A24,D$4,Feriados!$A$2:$A$1265)</f>
        <v>1233</v>
      </c>
      <c r="J24" s="3">
        <f>NETWORKDAYS($A24,E$4,Feriados!$A$2:$A$1265)</f>
        <v>2236</v>
      </c>
      <c r="K24" s="3">
        <f t="shared" si="2"/>
        <v>88817.840152306773</v>
      </c>
      <c r="L24" s="3">
        <f t="shared" si="3"/>
        <v>79108.924831914759</v>
      </c>
      <c r="M24" s="3">
        <f t="shared" si="4"/>
        <v>54268.556666576093</v>
      </c>
      <c r="N24" s="3">
        <f t="shared" si="5"/>
        <v>32403.74053715526</v>
      </c>
      <c r="O24" s="3">
        <f t="shared" si="6"/>
        <v>-7.2236424621072581</v>
      </c>
      <c r="P24" s="3">
        <f t="shared" si="7"/>
        <v>-13.448698723285139</v>
      </c>
      <c r="Q24" s="3">
        <f t="shared" si="8"/>
        <v>-23.434619095070385</v>
      </c>
      <c r="R24" s="3">
        <f t="shared" si="9"/>
        <v>-25.322691526595143</v>
      </c>
      <c r="S24" s="3">
        <f t="shared" si="10"/>
        <v>8.5817014707135968</v>
      </c>
      <c r="T24" s="3">
        <f t="shared" si="11"/>
        <v>35.117951240390539</v>
      </c>
      <c r="U24" s="3">
        <f t="shared" si="12"/>
        <v>116.4530144564269</v>
      </c>
      <c r="V24" s="3">
        <f t="shared" si="13"/>
        <v>122.34954741409456</v>
      </c>
      <c r="W24" s="23">
        <f t="shared" si="0"/>
        <v>12.324636949635593</v>
      </c>
      <c r="X24" s="23">
        <f t="shared" si="1"/>
        <v>13.832791310876091</v>
      </c>
      <c r="Y24" s="23">
        <f t="shared" si="14"/>
        <v>-1.5081543612404982</v>
      </c>
      <c r="Z24" s="3" cm="1">
        <f t="array" ref="Z24">SUMPRODUCT(S24:V24,TRANSPOSE($AH$2:$AH$5))</f>
        <v>2.5089672119740456</v>
      </c>
      <c r="AA24" s="23">
        <f t="shared" si="15"/>
        <v>7.5809262482859907E-3</v>
      </c>
    </row>
    <row r="25" spans="1:27" x14ac:dyDescent="0.35">
      <c r="A25" s="2">
        <v>46049</v>
      </c>
      <c r="B25" s="3">
        <v>13.582000000000001</v>
      </c>
      <c r="C25" s="3">
        <v>12.866</v>
      </c>
      <c r="D25" s="3">
        <v>13.148999999999999</v>
      </c>
      <c r="E25" s="3">
        <v>13.369</v>
      </c>
      <c r="F25" s="3">
        <v>5.5130999999999999E-2</v>
      </c>
      <c r="G25" s="3">
        <f>NETWORKDAYS($A25,B$4,Feriados!$A$2:$A$1265)</f>
        <v>232</v>
      </c>
      <c r="H25" s="3">
        <f>NETWORKDAYS($A25,C$4,Feriados!$A$2:$A$1265)</f>
        <v>483</v>
      </c>
      <c r="I25" s="3">
        <f>NETWORKDAYS($A25,D$4,Feriados!$A$2:$A$1265)</f>
        <v>1232</v>
      </c>
      <c r="J25" s="3">
        <f>NETWORKDAYS($A25,E$4,Feriados!$A$2:$A$1265)</f>
        <v>2235</v>
      </c>
      <c r="K25" s="3">
        <f t="shared" si="2"/>
        <v>88936.520041724434</v>
      </c>
      <c r="L25" s="3">
        <f t="shared" si="3"/>
        <v>79296.495388158466</v>
      </c>
      <c r="M25" s="3">
        <f t="shared" si="4"/>
        <v>54664.778266749192</v>
      </c>
      <c r="N25" s="3">
        <f t="shared" si="5"/>
        <v>32861.495033089159</v>
      </c>
      <c r="O25" s="3">
        <f t="shared" si="6"/>
        <v>-7.2087184650876894</v>
      </c>
      <c r="P25" s="3">
        <f t="shared" si="7"/>
        <v>-13.465964018745272</v>
      </c>
      <c r="Q25" s="3">
        <f t="shared" si="8"/>
        <v>-23.619300840651263</v>
      </c>
      <c r="R25" s="3">
        <f t="shared" si="9"/>
        <v>-25.708100475576614</v>
      </c>
      <c r="S25" s="3">
        <f t="shared" si="10"/>
        <v>69.713725963287288</v>
      </c>
      <c r="T25" s="3">
        <f t="shared" si="11"/>
        <v>143.95701489462226</v>
      </c>
      <c r="U25" s="3">
        <f t="shared" si="12"/>
        <v>366.30280219724227</v>
      </c>
      <c r="V25" s="3">
        <f t="shared" si="13"/>
        <v>439.88998973835623</v>
      </c>
      <c r="W25" s="23">
        <f t="shared" si="0"/>
        <v>12.208213813546799</v>
      </c>
      <c r="X25" s="23">
        <f t="shared" si="1"/>
        <v>13.639814796359563</v>
      </c>
      <c r="Y25" s="23">
        <f t="shared" si="14"/>
        <v>-1.431600982812764</v>
      </c>
      <c r="Z25" s="3" cm="1">
        <f t="array" ref="Z25">SUMPRODUCT(S25:V25,TRANSPOSE($AH$2:$AH$5))</f>
        <v>27.688665002269701</v>
      </c>
      <c r="AA25" s="23">
        <f t="shared" si="15"/>
        <v>7.6553378427734131E-2</v>
      </c>
    </row>
    <row r="26" spans="1:27" x14ac:dyDescent="0.35">
      <c r="A26" s="2">
        <v>46050</v>
      </c>
      <c r="B26" s="3">
        <v>13.526</v>
      </c>
      <c r="C26" s="3">
        <v>12.787000000000001</v>
      </c>
      <c r="D26" s="3">
        <v>13.102</v>
      </c>
      <c r="E26" s="3">
        <v>13.337999999999999</v>
      </c>
      <c r="F26" s="3">
        <v>5.5130999999999999E-2</v>
      </c>
      <c r="G26" s="3">
        <f>NETWORKDAYS($A26,B$4,Feriados!$A$2:$A$1265)</f>
        <v>231</v>
      </c>
      <c r="H26" s="3">
        <f>NETWORKDAYS($A26,C$4,Feriados!$A$2:$A$1265)</f>
        <v>482</v>
      </c>
      <c r="I26" s="3">
        <f>NETWORKDAYS($A26,D$4,Feriados!$A$2:$A$1265)</f>
        <v>1231</v>
      </c>
      <c r="J26" s="3">
        <f>NETWORKDAYS($A26,E$4,Feriados!$A$2:$A$1265)</f>
        <v>2234</v>
      </c>
      <c r="K26" s="3">
        <f t="shared" si="2"/>
        <v>89021.711969867276</v>
      </c>
      <c r="L26" s="3">
        <f t="shared" si="3"/>
        <v>79440.909454300272</v>
      </c>
      <c r="M26" s="3">
        <f t="shared" si="4"/>
        <v>54802.693348432011</v>
      </c>
      <c r="N26" s="3">
        <f t="shared" si="5"/>
        <v>32957.668489173266</v>
      </c>
      <c r="O26" s="3">
        <f t="shared" si="6"/>
        <v>-7.1880658150889083</v>
      </c>
      <c r="P26" s="3">
        <f t="shared" si="7"/>
        <v>-13.471987145376549</v>
      </c>
      <c r="Q26" s="3">
        <f t="shared" si="8"/>
        <v>-23.669502536381618</v>
      </c>
      <c r="R26" s="3">
        <f t="shared" si="9"/>
        <v>-25.778851474747771</v>
      </c>
      <c r="S26" s="3">
        <f t="shared" si="10"/>
        <v>36.160335278633283</v>
      </c>
      <c r="T26" s="3">
        <f t="shared" si="11"/>
        <v>100.69711526935862</v>
      </c>
      <c r="U26" s="3">
        <f t="shared" si="12"/>
        <v>107.77784277657338</v>
      </c>
      <c r="V26" s="3">
        <f t="shared" si="13"/>
        <v>78.056585257414554</v>
      </c>
      <c r="W26" s="23">
        <f t="shared" si="0"/>
        <v>12.111136041938009</v>
      </c>
      <c r="X26" s="23">
        <f t="shared" si="1"/>
        <v>13.62832023961249</v>
      </c>
      <c r="Y26" s="23">
        <f t="shared" si="14"/>
        <v>-1.5171841976744815</v>
      </c>
      <c r="Z26" s="3" cm="1">
        <f t="array" ref="Z26">SUMPRODUCT(S26:V26,TRANSPOSE($AH$2:$AH$5))</f>
        <v>-30.931306180030955</v>
      </c>
      <c r="AA26" s="23">
        <f t="shared" si="15"/>
        <v>-8.5583214861717494E-2</v>
      </c>
    </row>
    <row r="27" spans="1:27" x14ac:dyDescent="0.35">
      <c r="A27" s="2">
        <v>46051</v>
      </c>
      <c r="B27" s="3">
        <v>13.478999999999999</v>
      </c>
      <c r="C27" s="3">
        <v>12.685</v>
      </c>
      <c r="D27" s="3">
        <v>13.045</v>
      </c>
      <c r="E27" s="3">
        <v>13.304</v>
      </c>
      <c r="F27" s="3">
        <v>5.5130999999999999E-2</v>
      </c>
      <c r="G27" s="3">
        <f>NETWORKDAYS($A27,B$4,Feriados!$A$2:$A$1265)</f>
        <v>230</v>
      </c>
      <c r="H27" s="3">
        <f>NETWORKDAYS($A27,C$4,Feriados!$A$2:$A$1265)</f>
        <v>481</v>
      </c>
      <c r="I27" s="3">
        <f>NETWORKDAYS($A27,D$4,Feriados!$A$2:$A$1265)</f>
        <v>1230</v>
      </c>
      <c r="J27" s="3">
        <f>NETWORKDAYS($A27,E$4,Feriados!$A$2:$A$1265)</f>
        <v>2233</v>
      </c>
      <c r="K27" s="3">
        <f t="shared" si="2"/>
        <v>89100.206439832764</v>
      </c>
      <c r="L27" s="3">
        <f t="shared" si="3"/>
        <v>79616.22716290057</v>
      </c>
      <c r="M27" s="3">
        <f t="shared" si="4"/>
        <v>54964.547438985326</v>
      </c>
      <c r="N27" s="3">
        <f t="shared" si="5"/>
        <v>33061.829517250895</v>
      </c>
      <c r="O27" s="3">
        <f t="shared" si="6"/>
        <v>-7.1662260848911483</v>
      </c>
      <c r="P27" s="3">
        <f t="shared" si="7"/>
        <v>-13.485902641002758</v>
      </c>
      <c r="Q27" s="3">
        <f t="shared" si="8"/>
        <v>-23.732083567631083</v>
      </c>
      <c r="R27" s="3">
        <f t="shared" si="9"/>
        <v>-25.856505056218065</v>
      </c>
      <c r="S27" s="3">
        <f t="shared" si="10"/>
        <v>29.415909939372796</v>
      </c>
      <c r="T27" s="3">
        <f t="shared" si="11"/>
        <v>131.52114080903993</v>
      </c>
      <c r="U27" s="3">
        <f t="shared" si="12"/>
        <v>131.64081768338656</v>
      </c>
      <c r="V27" s="3">
        <f t="shared" si="13"/>
        <v>85.991135862859664</v>
      </c>
      <c r="W27" s="23">
        <f t="shared" si="0"/>
        <v>11.962308998688354</v>
      </c>
      <c r="X27" s="23">
        <f t="shared" si="1"/>
        <v>13.622427335363163</v>
      </c>
      <c r="Y27" s="23">
        <f t="shared" si="14"/>
        <v>-1.6601183366748096</v>
      </c>
      <c r="Z27" s="3" cm="1">
        <f t="array" ref="Z27">SUMPRODUCT(S27:V27,TRANSPOSE($AH$2:$AH$5))</f>
        <v>-51.829182465495087</v>
      </c>
      <c r="AA27" s="23">
        <f t="shared" si="15"/>
        <v>-0.14293413900032803</v>
      </c>
    </row>
    <row r="28" spans="1:27" x14ac:dyDescent="0.35">
      <c r="A28" s="2">
        <v>46052</v>
      </c>
      <c r="B28" s="3">
        <v>13.474</v>
      </c>
      <c r="C28" s="3">
        <v>12.696999999999999</v>
      </c>
      <c r="D28" s="3">
        <v>13.042999999999999</v>
      </c>
      <c r="E28" s="3">
        <v>13.305</v>
      </c>
      <c r="F28" s="3">
        <v>5.5130999999999999E-2</v>
      </c>
      <c r="G28" s="3">
        <f>NETWORKDAYS($A28,B$4,Feriados!$A$2:$A$1265)</f>
        <v>229</v>
      </c>
      <c r="H28" s="3">
        <f>NETWORKDAYS($A28,C$4,Feriados!$A$2:$A$1265)</f>
        <v>480</v>
      </c>
      <c r="I28" s="3">
        <f>NETWORKDAYS($A28,D$4,Feriados!$A$2:$A$1265)</f>
        <v>1229</v>
      </c>
      <c r="J28" s="3">
        <f>NETWORKDAYS($A28,E$4,Feriados!$A$2:$A$1265)</f>
        <v>2232</v>
      </c>
      <c r="K28" s="3">
        <f t="shared" si="2"/>
        <v>89148.495499773795</v>
      </c>
      <c r="L28" s="3">
        <f t="shared" si="3"/>
        <v>79637.812691786268</v>
      </c>
      <c r="M28" s="3">
        <f t="shared" si="4"/>
        <v>54996.043190324526</v>
      </c>
      <c r="N28" s="3">
        <f t="shared" si="5"/>
        <v>33075.635077206956</v>
      </c>
      <c r="O28" s="3">
        <f t="shared" si="6"/>
        <v>-7.1392500895415925</v>
      </c>
      <c r="P28" s="3">
        <f t="shared" si="7"/>
        <v>-13.460080729201186</v>
      </c>
      <c r="Q28" s="3">
        <f t="shared" si="8"/>
        <v>-23.726796854838089</v>
      </c>
      <c r="R28" s="3">
        <f t="shared" si="9"/>
        <v>-25.855489605008373</v>
      </c>
      <c r="S28" s="3">
        <f t="shared" si="10"/>
        <v>-0.83277487131999806</v>
      </c>
      <c r="T28" s="3">
        <f t="shared" si="11"/>
        <v>-22.307693311493495</v>
      </c>
      <c r="U28" s="3">
        <f t="shared" si="12"/>
        <v>1.1932466906073387</v>
      </c>
      <c r="V28" s="3">
        <f t="shared" si="13"/>
        <v>-4.42175727510039</v>
      </c>
      <c r="W28" s="23">
        <f t="shared" si="0"/>
        <v>11.992745872711597</v>
      </c>
      <c r="X28" s="23">
        <f t="shared" si="1"/>
        <v>13.626862930287164</v>
      </c>
      <c r="Y28" s="23">
        <f t="shared" si="14"/>
        <v>-1.6341170575755672</v>
      </c>
      <c r="Z28" s="3" cm="1">
        <f t="array" ref="Z28">SUMPRODUCT(S28:V28,TRANSPOSE($AH$2:$AH$5))</f>
        <v>9.4041190424441616</v>
      </c>
      <c r="AA28" s="23">
        <f t="shared" si="15"/>
        <v>2.6001279099242325E-2</v>
      </c>
    </row>
    <row r="29" spans="1:27" x14ac:dyDescent="0.35">
      <c r="A29" s="2">
        <v>46055</v>
      </c>
      <c r="B29" s="3">
        <v>13.457000000000001</v>
      </c>
      <c r="C29" s="3">
        <v>12.718</v>
      </c>
      <c r="D29" s="3">
        <v>13.146000000000001</v>
      </c>
      <c r="E29" s="3">
        <v>13.417</v>
      </c>
      <c r="F29" s="3">
        <v>5.5130999999999999E-2</v>
      </c>
      <c r="G29" s="3">
        <f>NETWORKDAYS($A29,B$4,Feriados!$A$2:$A$1265)</f>
        <v>228</v>
      </c>
      <c r="H29" s="3">
        <f>NETWORKDAYS($A29,C$4,Feriados!$A$2:$A$1265)</f>
        <v>479</v>
      </c>
      <c r="I29" s="3">
        <f>NETWORKDAYS($A29,D$4,Feriados!$A$2:$A$1265)</f>
        <v>1228</v>
      </c>
      <c r="J29" s="3">
        <f>NETWORKDAYS($A29,E$4,Feriados!$A$2:$A$1265)</f>
        <v>2231</v>
      </c>
      <c r="K29" s="3">
        <f t="shared" si="2"/>
        <v>89205.315240104799</v>
      </c>
      <c r="L29" s="3">
        <f t="shared" si="3"/>
        <v>79647.383676561833</v>
      </c>
      <c r="M29" s="3">
        <f t="shared" si="4"/>
        <v>54779.151618802949</v>
      </c>
      <c r="N29" s="3">
        <f t="shared" si="5"/>
        <v>32803.844301697762</v>
      </c>
      <c r="O29" s="3">
        <f t="shared" si="6"/>
        <v>-7.1136704594272171</v>
      </c>
      <c r="P29" s="3">
        <f t="shared" si="7"/>
        <v>-13.43115041029246</v>
      </c>
      <c r="Q29" s="3">
        <f t="shared" si="8"/>
        <v>-23.592497777099492</v>
      </c>
      <c r="R29" s="3">
        <f t="shared" si="9"/>
        <v>-25.6062284541369</v>
      </c>
      <c r="S29" s="3">
        <f t="shared" si="10"/>
        <v>7.6712832770135719</v>
      </c>
      <c r="T29" s="3">
        <f t="shared" si="11"/>
        <v>-34.334137739555445</v>
      </c>
      <c r="U29" s="3">
        <f t="shared" si="12"/>
        <v>-247.21144009284035</v>
      </c>
      <c r="V29" s="3">
        <f t="shared" si="13"/>
        <v>-290.02570388361346</v>
      </c>
      <c r="W29" s="23">
        <f t="shared" si="0"/>
        <v>12.050890022577088</v>
      </c>
      <c r="X29" s="23">
        <f t="shared" si="1"/>
        <v>13.749676603662063</v>
      </c>
      <c r="Y29" s="23">
        <f t="shared" si="14"/>
        <v>-1.6987865810849758</v>
      </c>
      <c r="Z29" s="3" cm="1">
        <f t="array" ref="Z29">SUMPRODUCT(S29:V29,TRANSPOSE($AH$2:$AH$5))</f>
        <v>-23.765738363713638</v>
      </c>
      <c r="AA29" s="23">
        <f t="shared" si="15"/>
        <v>-6.4669523509408577E-2</v>
      </c>
    </row>
    <row r="30" spans="1:27" x14ac:dyDescent="0.35">
      <c r="A30" s="2">
        <v>46056</v>
      </c>
      <c r="B30" s="3">
        <v>13.423999999999999</v>
      </c>
      <c r="C30" s="3">
        <v>12.653</v>
      </c>
      <c r="D30" s="3">
        <v>13.08</v>
      </c>
      <c r="E30" s="3">
        <v>13.358000000000001</v>
      </c>
      <c r="F30" s="3">
        <v>5.5130999999999999E-2</v>
      </c>
      <c r="G30" s="3">
        <f>NETWORKDAYS($A30,B$4,Feriados!$A$2:$A$1265)</f>
        <v>227</v>
      </c>
      <c r="H30" s="3">
        <f>NETWORKDAYS($A30,C$4,Feriados!$A$2:$A$1265)</f>
        <v>478</v>
      </c>
      <c r="I30" s="3">
        <f>NETWORKDAYS($A30,D$4,Feriados!$A$2:$A$1265)</f>
        <v>1227</v>
      </c>
      <c r="J30" s="3">
        <f>NETWORKDAYS($A30,E$4,Feriados!$A$2:$A$1265)</f>
        <v>2230</v>
      </c>
      <c r="K30" s="3">
        <f t="shared" si="2"/>
        <v>89273.409240885114</v>
      </c>
      <c r="L30" s="3">
        <f t="shared" si="3"/>
        <v>79772.465630882027</v>
      </c>
      <c r="M30" s="3">
        <f t="shared" si="4"/>
        <v>54961.933017601841</v>
      </c>
      <c r="N30" s="3">
        <f t="shared" si="5"/>
        <v>32971.709717477592</v>
      </c>
      <c r="O30" s="3">
        <f t="shared" si="6"/>
        <v>-7.0899386575056909</v>
      </c>
      <c r="P30" s="3">
        <f t="shared" si="7"/>
        <v>-13.431904944922737</v>
      </c>
      <c r="Q30" s="3">
        <f t="shared" si="8"/>
        <v>-23.665747178776876</v>
      </c>
      <c r="R30" s="3">
        <f t="shared" si="9"/>
        <v>-25.739115278682707</v>
      </c>
      <c r="S30" s="3">
        <f t="shared" si="10"/>
        <v>18.914218435282237</v>
      </c>
      <c r="T30" s="3">
        <f t="shared" si="11"/>
        <v>81.171555225460907</v>
      </c>
      <c r="U30" s="3">
        <f t="shared" si="12"/>
        <v>152.58110471992404</v>
      </c>
      <c r="V30" s="3">
        <f t="shared" si="13"/>
        <v>149.78032837785577</v>
      </c>
      <c r="W30" s="23">
        <f t="shared" si="0"/>
        <v>11.960235248731067</v>
      </c>
      <c r="X30" s="23">
        <f t="shared" si="1"/>
        <v>13.699015352784794</v>
      </c>
      <c r="Y30" s="23">
        <f t="shared" si="14"/>
        <v>-1.7387801040537276</v>
      </c>
      <c r="Z30" s="3" cm="1">
        <f t="array" ref="Z30">SUMPRODUCT(S30:V30,TRANSPOSE($AH$2:$AH$5))</f>
        <v>-14.566030182580846</v>
      </c>
      <c r="AA30" s="23">
        <f t="shared" si="15"/>
        <v>-3.9993522968751805E-2</v>
      </c>
    </row>
    <row r="31" spans="1:27" x14ac:dyDescent="0.35">
      <c r="A31" s="2">
        <v>46057</v>
      </c>
      <c r="B31" s="3">
        <v>13.412000000000001</v>
      </c>
      <c r="C31" s="3">
        <v>12.702</v>
      </c>
      <c r="D31" s="3">
        <v>13.157</v>
      </c>
      <c r="E31" s="3">
        <v>13.438000000000001</v>
      </c>
      <c r="F31" s="3">
        <v>5.5130999999999999E-2</v>
      </c>
      <c r="G31" s="3">
        <f>NETWORKDAYS($A31,B$4,Feriados!$A$2:$A$1265)</f>
        <v>226</v>
      </c>
      <c r="H31" s="3">
        <f>NETWORKDAYS($A31,C$4,Feriados!$A$2:$A$1265)</f>
        <v>477</v>
      </c>
      <c r="I31" s="3">
        <f>NETWORKDAYS($A31,D$4,Feriados!$A$2:$A$1265)</f>
        <v>1226</v>
      </c>
      <c r="J31" s="3">
        <f>NETWORKDAYS($A31,E$4,Feriados!$A$2:$A$1265)</f>
        <v>2229</v>
      </c>
      <c r="K31" s="3">
        <f t="shared" si="2"/>
        <v>89326.519461697084</v>
      </c>
      <c r="L31" s="3">
        <f t="shared" si="3"/>
        <v>79744.521480547046</v>
      </c>
      <c r="M31" s="3">
        <f t="shared" si="4"/>
        <v>54806.946550885434</v>
      </c>
      <c r="N31" s="3">
        <f t="shared" si="5"/>
        <v>32782.909181037707</v>
      </c>
      <c r="O31" s="3">
        <f t="shared" si="6"/>
        <v>-7.0636521058854456</v>
      </c>
      <c r="P31" s="3">
        <f t="shared" si="7"/>
        <v>-13.393283800480768</v>
      </c>
      <c r="Q31" s="3">
        <f t="shared" si="8"/>
        <v>-23.563733991509174</v>
      </c>
      <c r="R31" s="3">
        <f t="shared" si="9"/>
        <v>-25.562213469987608</v>
      </c>
      <c r="S31" s="3">
        <f t="shared" si="10"/>
        <v>3.8928975633752998</v>
      </c>
      <c r="T31" s="3">
        <f t="shared" si="11"/>
        <v>-71.923508361942368</v>
      </c>
      <c r="U31" s="3">
        <f t="shared" si="12"/>
        <v>-185.28753000834695</v>
      </c>
      <c r="V31" s="3">
        <f t="shared" si="13"/>
        <v>-206.97816972422879</v>
      </c>
      <c r="W31" s="23">
        <f t="shared" si="0"/>
        <v>12.066520754616029</v>
      </c>
      <c r="X31" s="23">
        <f t="shared" si="1"/>
        <v>13.782423510929597</v>
      </c>
      <c r="Y31" s="23">
        <f t="shared" si="14"/>
        <v>-1.715902756313568</v>
      </c>
      <c r="Z31" s="3" cm="1">
        <f t="array" ref="Z31">SUMPRODUCT(S31:V31,TRANSPOSE($AH$2:$AH$5))</f>
        <v>8.2912529163353952</v>
      </c>
      <c r="AA31" s="23">
        <f t="shared" si="15"/>
        <v>2.2877347740159593E-2</v>
      </c>
    </row>
    <row r="32" spans="1:27" x14ac:dyDescent="0.35">
      <c r="A32" s="2">
        <v>46058</v>
      </c>
      <c r="B32" s="3">
        <v>13.385999999999999</v>
      </c>
      <c r="C32" s="3">
        <v>12.675000000000001</v>
      </c>
      <c r="D32" s="3">
        <v>13.148999999999999</v>
      </c>
      <c r="E32" s="3">
        <v>13.442</v>
      </c>
      <c r="F32" s="3">
        <v>5.5130999999999999E-2</v>
      </c>
      <c r="G32" s="3">
        <f>NETWORKDAYS($A32,B$4,Feriados!$A$2:$A$1265)</f>
        <v>225</v>
      </c>
      <c r="H32" s="3">
        <f>NETWORKDAYS($A32,C$4,Feriados!$A$2:$A$1265)</f>
        <v>476</v>
      </c>
      <c r="I32" s="3">
        <f>NETWORKDAYS($A32,D$4,Feriados!$A$2:$A$1265)</f>
        <v>1225</v>
      </c>
      <c r="J32" s="3">
        <f>NETWORKDAYS($A32,E$4,Feriados!$A$2:$A$1265)</f>
        <v>2228</v>
      </c>
      <c r="K32" s="3">
        <f t="shared" si="2"/>
        <v>89389.440517794734</v>
      </c>
      <c r="L32" s="3">
        <f t="shared" si="3"/>
        <v>79818.485858237458</v>
      </c>
      <c r="M32" s="3">
        <f t="shared" si="4"/>
        <v>54852.684720233723</v>
      </c>
      <c r="N32" s="3">
        <f t="shared" si="5"/>
        <v>32789.09232050195</v>
      </c>
      <c r="O32" s="3">
        <f t="shared" si="6"/>
        <v>-7.0389642868005522</v>
      </c>
      <c r="P32" s="3">
        <f t="shared" si="7"/>
        <v>-13.38080772714086</v>
      </c>
      <c r="Q32" s="3">
        <f t="shared" si="8"/>
        <v>-23.565828700899061</v>
      </c>
      <c r="R32" s="3">
        <f t="shared" si="9"/>
        <v>-25.554663445273043</v>
      </c>
      <c r="S32" s="3">
        <f t="shared" si="10"/>
        <v>13.674452653212938</v>
      </c>
      <c r="T32" s="3">
        <f t="shared" si="11"/>
        <v>30.000425552963861</v>
      </c>
      <c r="U32" s="3">
        <f t="shared" si="12"/>
        <v>15.522551645313797</v>
      </c>
      <c r="V32" s="3">
        <f t="shared" si="13"/>
        <v>-11.890406196354888</v>
      </c>
      <c r="W32" s="23">
        <f t="shared" si="0"/>
        <v>12.041439810593847</v>
      </c>
      <c r="X32" s="23">
        <f t="shared" si="1"/>
        <v>13.800880852045317</v>
      </c>
      <c r="Y32" s="23">
        <f t="shared" si="14"/>
        <v>-1.7594410414514705</v>
      </c>
      <c r="Z32" s="3" cm="1">
        <f t="array" ref="Z32">SUMPRODUCT(S32:V32,TRANSPOSE($AH$2:$AH$5))</f>
        <v>-15.891308200865673</v>
      </c>
      <c r="AA32" s="23">
        <f t="shared" si="15"/>
        <v>-4.3538285137902477E-2</v>
      </c>
    </row>
    <row r="33" spans="1:27" x14ac:dyDescent="0.35">
      <c r="A33" s="2">
        <v>46059</v>
      </c>
      <c r="B33" s="3">
        <v>13.361000000000001</v>
      </c>
      <c r="C33" s="3">
        <v>12.67</v>
      </c>
      <c r="D33" s="3">
        <v>13.192</v>
      </c>
      <c r="E33" s="3">
        <v>13.507</v>
      </c>
      <c r="F33" s="3">
        <v>5.5130999999999999E-2</v>
      </c>
      <c r="G33" s="3">
        <f>NETWORKDAYS($A33,B$4,Feriados!$A$2:$A$1265)</f>
        <v>224</v>
      </c>
      <c r="H33" s="3">
        <f>NETWORKDAYS($A33,C$4,Feriados!$A$2:$A$1265)</f>
        <v>475</v>
      </c>
      <c r="I33" s="3">
        <f>NETWORKDAYS($A33,D$4,Feriados!$A$2:$A$1265)</f>
        <v>1224</v>
      </c>
      <c r="J33" s="3">
        <f>NETWORKDAYS($A33,E$4,Feriados!$A$2:$A$1265)</f>
        <v>2227</v>
      </c>
      <c r="K33" s="3">
        <f t="shared" si="2"/>
        <v>89451.545886535197</v>
      </c>
      <c r="L33" s="3">
        <f t="shared" si="3"/>
        <v>79862.973673414061</v>
      </c>
      <c r="M33" s="3">
        <f t="shared" si="4"/>
        <v>54778.393829208253</v>
      </c>
      <c r="N33" s="3">
        <f t="shared" si="5"/>
        <v>32639.8600982436</v>
      </c>
      <c r="O33" s="3">
        <f t="shared" si="6"/>
        <v>-7.0140952560824026</v>
      </c>
      <c r="P33" s="3">
        <f t="shared" si="7"/>
        <v>-13.360731964421902</v>
      </c>
      <c r="Q33" s="3">
        <f t="shared" si="8"/>
        <v>-23.505767573087958</v>
      </c>
      <c r="R33" s="3">
        <f t="shared" si="9"/>
        <v>-25.412378748051651</v>
      </c>
      <c r="S33" s="3">
        <f t="shared" si="10"/>
        <v>12.824076288598008</v>
      </c>
      <c r="T33" s="3">
        <f t="shared" si="11"/>
        <v>0.48308573808753863</v>
      </c>
      <c r="U33" s="3">
        <f t="shared" si="12"/>
        <v>-104.53172463858937</v>
      </c>
      <c r="V33" s="3">
        <f t="shared" si="13"/>
        <v>-167.30917674556622</v>
      </c>
      <c r="W33" s="23">
        <f t="shared" si="0"/>
        <v>12.056888232823869</v>
      </c>
      <c r="X33" s="23">
        <f t="shared" si="1"/>
        <v>13.892594635827326</v>
      </c>
      <c r="Y33" s="23">
        <f t="shared" si="14"/>
        <v>-1.8357064030034564</v>
      </c>
      <c r="Z33" s="3" cm="1">
        <f t="array" ref="Z33">SUMPRODUCT(S33:V33,TRANSPOSE($AH$2:$AH$5))</f>
        <v>-27.575014361062326</v>
      </c>
      <c r="AA33" s="23">
        <f t="shared" si="15"/>
        <v>-7.6265361551985933E-2</v>
      </c>
    </row>
    <row r="34" spans="1:27" x14ac:dyDescent="0.35">
      <c r="A34" s="2">
        <v>46062</v>
      </c>
      <c r="B34" s="3">
        <v>13.356999999999999</v>
      </c>
      <c r="C34" s="3">
        <v>12.64</v>
      </c>
      <c r="D34" s="3">
        <v>13.106999999999999</v>
      </c>
      <c r="E34" s="3">
        <v>13.436</v>
      </c>
      <c r="F34" s="3">
        <v>5.5130999999999999E-2</v>
      </c>
      <c r="G34" s="3">
        <f>NETWORKDAYS($A34,B$4,Feriados!$A$2:$A$1265)</f>
        <v>223</v>
      </c>
      <c r="H34" s="3">
        <f>NETWORKDAYS($A34,C$4,Feriados!$A$2:$A$1265)</f>
        <v>474</v>
      </c>
      <c r="I34" s="3">
        <f>NETWORKDAYS($A34,D$4,Feriados!$A$2:$A$1265)</f>
        <v>1223</v>
      </c>
      <c r="J34" s="3">
        <f>NETWORKDAYS($A34,E$4,Feriados!$A$2:$A$1265)</f>
        <v>2226</v>
      </c>
      <c r="K34" s="3">
        <f t="shared" si="2"/>
        <v>89498.866920823217</v>
      </c>
      <c r="L34" s="3">
        <f t="shared" si="3"/>
        <v>79940.820657397169</v>
      </c>
      <c r="M34" s="3">
        <f t="shared" si="4"/>
        <v>55005.510176404554</v>
      </c>
      <c r="N34" s="3">
        <f t="shared" si="5"/>
        <v>32837.267828592958</v>
      </c>
      <c r="O34" s="3">
        <f t="shared" si="6"/>
        <v>-6.9867228437813536</v>
      </c>
      <c r="P34" s="3">
        <f t="shared" si="7"/>
        <v>-13.349154558843971</v>
      </c>
      <c r="Q34" s="3">
        <f t="shared" si="8"/>
        <v>-23.601664355237848</v>
      </c>
      <c r="R34" s="3">
        <f t="shared" si="9"/>
        <v>-25.570588921145355</v>
      </c>
      <c r="S34" s="3">
        <f t="shared" si="10"/>
        <v>-1.9944974746904336</v>
      </c>
      <c r="T34" s="3">
        <f t="shared" si="11"/>
        <v>33.817727967209066</v>
      </c>
      <c r="U34" s="3">
        <f t="shared" si="12"/>
        <v>196.91647089431353</v>
      </c>
      <c r="V34" s="3">
        <f t="shared" si="13"/>
        <v>179.41304907859376</v>
      </c>
      <c r="W34" s="23">
        <f t="shared" si="0"/>
        <v>12.006789443881448</v>
      </c>
      <c r="X34" s="23">
        <f t="shared" si="1"/>
        <v>13.838458642464868</v>
      </c>
      <c r="Y34" s="23">
        <f t="shared" si="14"/>
        <v>-1.8316691985834197</v>
      </c>
      <c r="Z34" s="3" cm="1">
        <f t="array" ref="Z34">SUMPRODUCT(S34:V34,TRANSPOSE($AH$2:$AH$5))</f>
        <v>1.0808662355725787</v>
      </c>
      <c r="AA34" s="23">
        <f t="shared" si="15"/>
        <v>4.0372044200367441E-3</v>
      </c>
    </row>
    <row r="35" spans="1:27" x14ac:dyDescent="0.35">
      <c r="A35" s="2">
        <v>46063</v>
      </c>
      <c r="B35" s="3">
        <v>13.381</v>
      </c>
      <c r="C35" s="3">
        <v>12.686999999999999</v>
      </c>
      <c r="D35" s="3">
        <v>13.146000000000001</v>
      </c>
      <c r="E35" s="3">
        <v>13.455</v>
      </c>
      <c r="F35" s="3">
        <v>5.5130999999999999E-2</v>
      </c>
      <c r="G35" s="3">
        <f>NETWORKDAYS($A35,B$4,Feriados!$A$2:$A$1265)</f>
        <v>222</v>
      </c>
      <c r="H35" s="3">
        <f>NETWORKDAYS($A35,C$4,Feriados!$A$2:$A$1265)</f>
        <v>473</v>
      </c>
      <c r="I35" s="3">
        <f>NETWORKDAYS($A35,D$4,Feriados!$A$2:$A$1265)</f>
        <v>1222</v>
      </c>
      <c r="J35" s="3">
        <f>NETWORKDAYS($A35,E$4,Feriados!$A$2:$A$1265)</f>
        <v>2225</v>
      </c>
      <c r="K35" s="3">
        <f t="shared" si="2"/>
        <v>89526.706452239596</v>
      </c>
      <c r="L35" s="3">
        <f t="shared" si="3"/>
        <v>79915.987216332287</v>
      </c>
      <c r="M35" s="3">
        <f t="shared" si="4"/>
        <v>54940.477019425831</v>
      </c>
      <c r="N35" s="3">
        <f t="shared" si="5"/>
        <v>32805.152891346399</v>
      </c>
      <c r="O35" s="3">
        <f t="shared" si="6"/>
        <v>-6.9560830481231735</v>
      </c>
      <c r="P35" s="3">
        <f t="shared" si="7"/>
        <v>-13.311299395433554</v>
      </c>
      <c r="Q35" s="3">
        <f t="shared" si="8"/>
        <v>-23.546365756723631</v>
      </c>
      <c r="R35" s="3">
        <f t="shared" si="9"/>
        <v>-25.529828686447161</v>
      </c>
      <c r="S35" s="3">
        <f t="shared" si="10"/>
        <v>-21.502088905748678</v>
      </c>
      <c r="T35" s="3">
        <f t="shared" si="11"/>
        <v>-68.905614901523222</v>
      </c>
      <c r="U35" s="3">
        <f t="shared" si="12"/>
        <v>-95.358244794078928</v>
      </c>
      <c r="V35" s="3">
        <f t="shared" si="13"/>
        <v>-50.218451373140852</v>
      </c>
      <c r="W35" s="23">
        <f t="shared" si="0"/>
        <v>12.076724201287202</v>
      </c>
      <c r="X35" s="23">
        <f t="shared" si="1"/>
        <v>13.832609194254575</v>
      </c>
      <c r="Y35" s="23">
        <f t="shared" si="14"/>
        <v>-1.7558849929673723</v>
      </c>
      <c r="Z35" s="3" cm="1">
        <f t="array" ref="Z35">SUMPRODUCT(S35:V35,TRANSPOSE($AH$2:$AH$5))</f>
        <v>27.799829901278343</v>
      </c>
      <c r="AA35" s="23">
        <f t="shared" si="15"/>
        <v>7.5784205616047373E-2</v>
      </c>
    </row>
    <row r="36" spans="1:27" x14ac:dyDescent="0.35">
      <c r="A36" s="2">
        <v>46064</v>
      </c>
      <c r="B36" s="3">
        <v>13.339</v>
      </c>
      <c r="C36" s="3">
        <v>12.646000000000001</v>
      </c>
      <c r="D36" s="3">
        <v>13.156000000000001</v>
      </c>
      <c r="E36" s="3">
        <v>13.497</v>
      </c>
      <c r="F36" s="3">
        <v>5.5130999999999999E-2</v>
      </c>
      <c r="G36" s="3">
        <f>NETWORKDAYS($A36,B$4,Feriados!$A$2:$A$1265)</f>
        <v>221</v>
      </c>
      <c r="H36" s="3">
        <f>NETWORKDAYS($A36,C$4,Feriados!$A$2:$A$1265)</f>
        <v>472</v>
      </c>
      <c r="I36" s="3">
        <f>NETWORKDAYS($A36,D$4,Feriados!$A$2:$A$1265)</f>
        <v>1221</v>
      </c>
      <c r="J36" s="3">
        <f>NETWORKDAYS($A36,E$4,Feriados!$A$2:$A$1265)</f>
        <v>2224</v>
      </c>
      <c r="K36" s="3">
        <f t="shared" si="2"/>
        <v>89600.441571655741</v>
      </c>
      <c r="L36" s="3">
        <f t="shared" si="3"/>
        <v>80008.390320686594</v>
      </c>
      <c r="M36" s="3">
        <f t="shared" si="4"/>
        <v>54943.878187370377</v>
      </c>
      <c r="N36" s="3">
        <f t="shared" si="5"/>
        <v>32714.554281152508</v>
      </c>
      <c r="O36" s="3">
        <f t="shared" si="6"/>
        <v>-6.9330208515260239</v>
      </c>
      <c r="P36" s="3">
        <f t="shared" si="7"/>
        <v>-13.303356092990033</v>
      </c>
      <c r="Q36" s="3">
        <f t="shared" si="8"/>
        <v>-23.52647422086044</v>
      </c>
      <c r="R36" s="3">
        <f t="shared" si="9"/>
        <v>-25.438462998771374</v>
      </c>
      <c r="S36" s="3">
        <f t="shared" si="10"/>
        <v>24.378150881952024</v>
      </c>
      <c r="T36" s="3">
        <f t="shared" si="11"/>
        <v>48.344621442069183</v>
      </c>
      <c r="U36" s="3">
        <f t="shared" si="12"/>
        <v>-26.888066441038973</v>
      </c>
      <c r="V36" s="3">
        <f t="shared" si="13"/>
        <v>-108.68441903441999</v>
      </c>
      <c r="W36" s="23">
        <f t="shared" si="0"/>
        <v>12.039337414771744</v>
      </c>
      <c r="X36" s="23">
        <f t="shared" si="1"/>
        <v>13.913502870381489</v>
      </c>
      <c r="Y36" s="23">
        <f t="shared" si="14"/>
        <v>-1.8741654556097451</v>
      </c>
      <c r="Z36" s="3" cm="1">
        <f t="array" ref="Z36">SUMPRODUCT(S36:V36,TRANSPOSE($AH$2:$AH$5))</f>
        <v>-43.059941852749603</v>
      </c>
      <c r="AA36" s="23">
        <f t="shared" si="15"/>
        <v>-0.1182804626423728</v>
      </c>
    </row>
    <row r="37" spans="1:27" x14ac:dyDescent="0.35">
      <c r="A37" s="2">
        <v>46065</v>
      </c>
      <c r="B37" s="3">
        <v>13.316000000000001</v>
      </c>
      <c r="C37" s="3">
        <v>12.635999999999999</v>
      </c>
      <c r="D37" s="3">
        <v>13.128</v>
      </c>
      <c r="E37" s="3">
        <v>13.451000000000001</v>
      </c>
      <c r="F37" s="3">
        <v>5.5130999999999999E-2</v>
      </c>
      <c r="G37" s="3">
        <f>NETWORKDAYS($A37,B$4,Feriados!$A$2:$A$1265)</f>
        <v>220</v>
      </c>
      <c r="H37" s="3">
        <f>NETWORKDAYS($A37,C$4,Feriados!$A$2:$A$1265)</f>
        <v>471</v>
      </c>
      <c r="I37" s="3">
        <f>NETWORKDAYS($A37,D$4,Feriados!$A$2:$A$1265)</f>
        <v>1220</v>
      </c>
      <c r="J37" s="3">
        <f>NETWORKDAYS($A37,E$4,Feriados!$A$2:$A$1265)</f>
        <v>2223</v>
      </c>
      <c r="K37" s="3">
        <f t="shared" si="2"/>
        <v>89660.857784146821</v>
      </c>
      <c r="L37" s="3">
        <f t="shared" si="3"/>
        <v>80059.489522365766</v>
      </c>
      <c r="M37" s="3">
        <f t="shared" si="4"/>
        <v>55036.732938787987</v>
      </c>
      <c r="N37" s="3">
        <f t="shared" si="5"/>
        <v>32848.250731185413</v>
      </c>
      <c r="O37" s="3">
        <f t="shared" si="6"/>
        <v>-6.9077051814200079</v>
      </c>
      <c r="P37" s="3">
        <f t="shared" si="7"/>
        <v>-13.284828853470076</v>
      </c>
      <c r="Q37" s="3">
        <f t="shared" si="8"/>
        <v>-23.552761061680282</v>
      </c>
      <c r="R37" s="3">
        <f t="shared" si="9"/>
        <v>-25.541290735341988</v>
      </c>
      <c r="S37" s="3">
        <f t="shared" si="10"/>
        <v>11.018593048196635</v>
      </c>
      <c r="T37" s="3">
        <f t="shared" si="11"/>
        <v>6.9897760114690755</v>
      </c>
      <c r="U37" s="3">
        <f t="shared" si="12"/>
        <v>62.563641934124462</v>
      </c>
      <c r="V37" s="3">
        <f t="shared" si="13"/>
        <v>115.66058911216169</v>
      </c>
      <c r="W37" s="23">
        <f t="shared" si="0"/>
        <v>12.043340668452785</v>
      </c>
      <c r="X37" s="23">
        <f t="shared" si="1"/>
        <v>13.845124701160461</v>
      </c>
      <c r="Y37" s="23">
        <f t="shared" si="14"/>
        <v>-1.8017840327076762</v>
      </c>
      <c r="Z37" s="3" cm="1">
        <f t="array" ref="Z37">SUMPRODUCT(S37:V37,TRANSPOSE($AH$2:$AH$5))</f>
        <v>26.220568012095491</v>
      </c>
      <c r="AA37" s="23">
        <f t="shared" si="15"/>
        <v>7.2381422902068948E-2</v>
      </c>
    </row>
    <row r="38" spans="1:27" x14ac:dyDescent="0.35">
      <c r="A38" s="2">
        <v>46066</v>
      </c>
      <c r="B38" s="3">
        <v>13.32</v>
      </c>
      <c r="C38" s="3">
        <v>12.625</v>
      </c>
      <c r="D38" s="3">
        <v>13.098000000000001</v>
      </c>
      <c r="E38" s="3">
        <v>13.403</v>
      </c>
      <c r="F38" s="3">
        <v>5.5130999999999999E-2</v>
      </c>
      <c r="G38" s="3">
        <f>NETWORKDAYS($A38,B$4,Feriados!$A$2:$A$1265)</f>
        <v>219</v>
      </c>
      <c r="H38" s="3">
        <f>NETWORKDAYS($A38,C$4,Feriados!$A$2:$A$1265)</f>
        <v>470</v>
      </c>
      <c r="I38" s="3">
        <f>NETWORKDAYS($A38,D$4,Feriados!$A$2:$A$1265)</f>
        <v>1219</v>
      </c>
      <c r="J38" s="3">
        <f>NETWORKDAYS($A38,E$4,Feriados!$A$2:$A$1265)</f>
        <v>2222</v>
      </c>
      <c r="K38" s="3">
        <f t="shared" si="2"/>
        <v>89702.595278994559</v>
      </c>
      <c r="L38" s="3">
        <f t="shared" si="3"/>
        <v>80111.892735487083</v>
      </c>
      <c r="M38" s="3">
        <f t="shared" si="4"/>
        <v>55134.368718626676</v>
      </c>
      <c r="N38" s="3">
        <f t="shared" si="5"/>
        <v>32987.564604220745</v>
      </c>
      <c r="O38" s="3">
        <f t="shared" si="6"/>
        <v>-6.8792646355102729</v>
      </c>
      <c r="P38" s="3">
        <f t="shared" si="7"/>
        <v>-13.266596052244923</v>
      </c>
      <c r="Q38" s="3">
        <f t="shared" si="8"/>
        <v>-23.581457613528428</v>
      </c>
      <c r="R38" s="3">
        <f t="shared" si="9"/>
        <v>-25.648928323534211</v>
      </c>
      <c r="S38" s="3">
        <f t="shared" si="10"/>
        <v>-7.693432657251833</v>
      </c>
      <c r="T38" s="3">
        <f t="shared" si="11"/>
        <v>8.2656159527396085</v>
      </c>
      <c r="U38" s="3">
        <f t="shared" si="12"/>
        <v>67.293478602201503</v>
      </c>
      <c r="V38" s="3">
        <f t="shared" si="13"/>
        <v>121.2043039247219</v>
      </c>
      <c r="W38" s="23">
        <f t="shared" si="0"/>
        <v>12.022088477256565</v>
      </c>
      <c r="X38" s="23">
        <f t="shared" si="1"/>
        <v>13.774790453539998</v>
      </c>
      <c r="Y38" s="23">
        <f t="shared" si="14"/>
        <v>-1.7527019762834328</v>
      </c>
      <c r="Z38" s="3" cm="1">
        <f t="array" ref="Z38">SUMPRODUCT(S38:V38,TRANSPOSE($AH$2:$AH$5))</f>
        <v>17.909870791096704</v>
      </c>
      <c r="AA38" s="23">
        <f t="shared" si="15"/>
        <v>4.9082056424243348E-2</v>
      </c>
    </row>
    <row r="39" spans="1:27" x14ac:dyDescent="0.35">
      <c r="A39" s="2">
        <v>46069</v>
      </c>
      <c r="B39" s="3">
        <v>13.32</v>
      </c>
      <c r="C39" s="3">
        <v>12.625</v>
      </c>
      <c r="D39" s="3">
        <v>13.098000000000001</v>
      </c>
      <c r="E39" s="3">
        <v>13.403</v>
      </c>
      <c r="F39" s="3">
        <v>5.5130999999999999E-2</v>
      </c>
      <c r="G39" s="3">
        <f>NETWORKDAYS($A39,B$4,Feriados!$A$2:$A$1265)</f>
        <v>218</v>
      </c>
      <c r="H39" s="3">
        <f>NETWORKDAYS($A39,C$4,Feriados!$A$2:$A$1265)</f>
        <v>469</v>
      </c>
      <c r="I39" s="3">
        <f>NETWORKDAYS($A39,D$4,Feriados!$A$2:$A$1265)</f>
        <v>1218</v>
      </c>
      <c r="J39" s="3">
        <f>NETWORKDAYS($A39,E$4,Feriados!$A$2:$A$1265)</f>
        <v>2221</v>
      </c>
      <c r="K39" s="3">
        <f t="shared" si="2"/>
        <v>89747.117851741161</v>
      </c>
      <c r="L39" s="3">
        <f t="shared" si="3"/>
        <v>80149.698421862326</v>
      </c>
      <c r="M39" s="3">
        <f t="shared" si="4"/>
        <v>55161.304609547617</v>
      </c>
      <c r="N39" s="3">
        <f t="shared" si="5"/>
        <v>33004.033391129524</v>
      </c>
      <c r="O39" s="3">
        <f t="shared" si="6"/>
        <v>-6.851251299760607</v>
      </c>
      <c r="P39" s="3">
        <f t="shared" si="7"/>
        <v>-13.244616584695466</v>
      </c>
      <c r="Q39" s="3">
        <f t="shared" si="8"/>
        <v>-23.57362396147413</v>
      </c>
      <c r="R39" s="3">
        <f t="shared" si="9"/>
        <v>-25.650184418044237</v>
      </c>
      <c r="S39" s="3">
        <f t="shared" si="10"/>
        <v>-4.931365056661889</v>
      </c>
      <c r="T39" s="3">
        <f t="shared" si="11"/>
        <v>-6.3608012087643147</v>
      </c>
      <c r="U39" s="3">
        <f t="shared" si="12"/>
        <v>-3.460237897328625</v>
      </c>
      <c r="V39" s="3">
        <f t="shared" si="13"/>
        <v>-1.7175873331798357</v>
      </c>
      <c r="W39" s="23">
        <f t="shared" ref="W39:W63" si="16">100*((((1+C39/100)^(H39/252))/((1+B39/100)^(G39/252)))^(252/(H39-G39))-1)</f>
        <v>12.024834149546582</v>
      </c>
      <c r="X39" s="23">
        <f t="shared" ref="X39:X63" si="17">100*((((1+E39/100)^(J39/252))/((1+D39/100)^(I39/252)))^(252/(J39-I39))-1)</f>
        <v>13.774484958261857</v>
      </c>
      <c r="Y39" s="23">
        <f t="shared" si="14"/>
        <v>-1.7496508087152751</v>
      </c>
      <c r="Z39" s="3" cm="1">
        <f t="array" ref="Z39">SUMPRODUCT(S39:V39,TRANSPOSE($AH$2:$AH$5))</f>
        <v>1.1292779466801268</v>
      </c>
      <c r="AA39" s="23">
        <f t="shared" si="15"/>
        <v>3.0511675681577088E-3</v>
      </c>
    </row>
    <row r="40" spans="1:27" x14ac:dyDescent="0.35">
      <c r="A40" s="2">
        <v>46070</v>
      </c>
      <c r="B40" s="3">
        <v>13.32</v>
      </c>
      <c r="C40" s="3">
        <v>12.625</v>
      </c>
      <c r="D40" s="3">
        <v>13.098000000000001</v>
      </c>
      <c r="E40" s="3">
        <v>13.403</v>
      </c>
      <c r="F40" s="3">
        <v>5.5130999999999999E-2</v>
      </c>
      <c r="G40" s="3">
        <f>NETWORKDAYS($A40,B$4,Feriados!$A$2:$A$1265)</f>
        <v>218</v>
      </c>
      <c r="H40" s="3">
        <f>NETWORKDAYS($A40,C$4,Feriados!$A$2:$A$1265)</f>
        <v>469</v>
      </c>
      <c r="I40" s="3">
        <f>NETWORKDAYS($A40,D$4,Feriados!$A$2:$A$1265)</f>
        <v>1218</v>
      </c>
      <c r="J40" s="3">
        <f>NETWORKDAYS($A40,E$4,Feriados!$A$2:$A$1265)</f>
        <v>2221</v>
      </c>
      <c r="K40" s="3">
        <f t="shared" si="2"/>
        <v>89747.117851741161</v>
      </c>
      <c r="L40" s="3">
        <f t="shared" si="3"/>
        <v>80149.698421862326</v>
      </c>
      <c r="M40" s="3">
        <f t="shared" si="4"/>
        <v>55161.304609547617</v>
      </c>
      <c r="N40" s="3">
        <f t="shared" si="5"/>
        <v>33004.033391129524</v>
      </c>
      <c r="O40" s="3">
        <f t="shared" si="6"/>
        <v>-6.851251299760607</v>
      </c>
      <c r="P40" s="3">
        <f t="shared" si="7"/>
        <v>-13.244616584695466</v>
      </c>
      <c r="Q40" s="3">
        <f t="shared" si="8"/>
        <v>-23.57362396147413</v>
      </c>
      <c r="R40" s="3">
        <f t="shared" si="9"/>
        <v>-25.650184418044237</v>
      </c>
      <c r="S40" s="3">
        <f t="shared" ref="S40:S63" si="18">K40-K39*(1+$F39/100)</f>
        <v>-49.478483542843605</v>
      </c>
      <c r="T40" s="3">
        <f t="shared" ref="T40:T63" si="19">L40-L39*(1+$F39/100)</f>
        <v>-44.187330236964044</v>
      </c>
      <c r="U40" s="3">
        <f t="shared" ref="U40:U63" si="20">M40-M39*(1+$F39/100)</f>
        <v>-30.410978844294732</v>
      </c>
      <c r="V40" s="3">
        <f t="shared" ref="V40:V63" si="21">N40-N39*(1+$F39/100)</f>
        <v>-18.195453648862895</v>
      </c>
      <c r="W40" s="23">
        <f t="shared" si="16"/>
        <v>12.024834149546582</v>
      </c>
      <c r="X40" s="23">
        <f t="shared" si="17"/>
        <v>13.774484958261857</v>
      </c>
      <c r="Y40" s="23">
        <f t="shared" si="14"/>
        <v>-1.7496508087152751</v>
      </c>
      <c r="Z40" s="3" cm="1">
        <f t="array" ref="Z40">SUMPRODUCT(S40:V40,TRANSPOSE($AH$2:$AH$5))</f>
        <v>0.1495976542319335</v>
      </c>
      <c r="AA40" s="23">
        <f t="shared" si="15"/>
        <v>0</v>
      </c>
    </row>
    <row r="41" spans="1:27" x14ac:dyDescent="0.35">
      <c r="A41" s="2">
        <v>46071</v>
      </c>
      <c r="B41" s="3">
        <v>13.304</v>
      </c>
      <c r="C41" s="3">
        <v>12.592000000000001</v>
      </c>
      <c r="D41" s="3">
        <v>13.044</v>
      </c>
      <c r="E41" s="3">
        <v>13.339</v>
      </c>
      <c r="F41" s="3">
        <v>5.5130999999999999E-2</v>
      </c>
      <c r="G41" s="3">
        <f>NETWORKDAYS($A41,B$4,Feriados!$A$2:$A$1265)</f>
        <v>218</v>
      </c>
      <c r="H41" s="3">
        <f>NETWORKDAYS($A41,C$4,Feriados!$A$2:$A$1265)</f>
        <v>469</v>
      </c>
      <c r="I41" s="3">
        <f>NETWORKDAYS($A41,D$4,Feriados!$A$2:$A$1265)</f>
        <v>1218</v>
      </c>
      <c r="J41" s="3">
        <f>NETWORKDAYS($A41,E$4,Feriados!$A$2:$A$1265)</f>
        <v>2221</v>
      </c>
      <c r="K41" s="3">
        <f t="shared" si="2"/>
        <v>89758.081297361961</v>
      </c>
      <c r="L41" s="3">
        <f t="shared" si="3"/>
        <v>80193.423983997767</v>
      </c>
      <c r="M41" s="3">
        <f t="shared" si="4"/>
        <v>55288.779646200899</v>
      </c>
      <c r="N41" s="3">
        <f t="shared" si="5"/>
        <v>33168.650087267953</v>
      </c>
      <c r="O41" s="3">
        <f t="shared" si="6"/>
        <v>-6.8530558479368704</v>
      </c>
      <c r="P41" s="3">
        <f t="shared" si="7"/>
        <v>-13.255726198545412</v>
      </c>
      <c r="Q41" s="3">
        <f t="shared" si="8"/>
        <v>-23.639388346423011</v>
      </c>
      <c r="R41" s="3">
        <f t="shared" si="9"/>
        <v>-25.792678098525787</v>
      </c>
      <c r="S41" s="3">
        <f t="shared" si="18"/>
        <v>-38.51503792204312</v>
      </c>
      <c r="T41" s="3">
        <f t="shared" si="19"/>
        <v>-0.46176810152246617</v>
      </c>
      <c r="U41" s="3">
        <f t="shared" si="20"/>
        <v>97.064057808987855</v>
      </c>
      <c r="V41" s="3">
        <f t="shared" si="21"/>
        <v>146.42124248956679</v>
      </c>
      <c r="W41" s="23">
        <f t="shared" si="16"/>
        <v>11.97724106503799</v>
      </c>
      <c r="X41" s="23">
        <f t="shared" si="17"/>
        <v>13.698270535040379</v>
      </c>
      <c r="Y41" s="23">
        <f t="shared" si="14"/>
        <v>-1.7210294700023887</v>
      </c>
      <c r="Z41" s="3" cm="1">
        <f t="array" ref="Z41">SUMPRODUCT(S41:V41,TRANSPOSE($AH$2:$AH$5))</f>
        <v>10.664412772261691</v>
      </c>
      <c r="AA41" s="23">
        <f t="shared" si="15"/>
        <v>2.8621338712886413E-2</v>
      </c>
    </row>
    <row r="42" spans="1:27" x14ac:dyDescent="0.35">
      <c r="A42" s="2">
        <v>46072</v>
      </c>
      <c r="B42" s="3">
        <v>13.304</v>
      </c>
      <c r="C42" s="3">
        <v>12.613</v>
      </c>
      <c r="D42" s="3">
        <v>13.122999999999999</v>
      </c>
      <c r="E42" s="3">
        <v>13.443</v>
      </c>
      <c r="F42" s="3">
        <v>5.5130999999999999E-2</v>
      </c>
      <c r="G42" s="3">
        <f>NETWORKDAYS($A42,B$4,Feriados!$A$2:$A$1265)</f>
        <v>217</v>
      </c>
      <c r="H42" s="3">
        <f>NETWORKDAYS($A42,C$4,Feriados!$A$2:$A$1265)</f>
        <v>468</v>
      </c>
      <c r="I42" s="3">
        <f>NETWORKDAYS($A42,D$4,Feriados!$A$2:$A$1265)</f>
        <v>1217</v>
      </c>
      <c r="J42" s="3">
        <f>NETWORKDAYS($A42,E$4,Feriados!$A$2:$A$1265)</f>
        <v>2220</v>
      </c>
      <c r="K42" s="3">
        <f t="shared" si="2"/>
        <v>89802.581090727981</v>
      </c>
      <c r="L42" s="3">
        <f t="shared" si="3"/>
        <v>80203.39150075645</v>
      </c>
      <c r="M42" s="3">
        <f t="shared" si="4"/>
        <v>55129.377155881804</v>
      </c>
      <c r="N42" s="3">
        <f t="shared" si="5"/>
        <v>32918.081943994606</v>
      </c>
      <c r="O42" s="3">
        <f t="shared" si="6"/>
        <v>-6.8250017990258449</v>
      </c>
      <c r="P42" s="3">
        <f t="shared" si="7"/>
        <v>-13.22663952157051</v>
      </c>
      <c r="Q42" s="3">
        <f t="shared" si="8"/>
        <v>-23.535433897948476</v>
      </c>
      <c r="R42" s="3">
        <f t="shared" si="9"/>
        <v>-25.562848888823133</v>
      </c>
      <c r="S42" s="3">
        <f t="shared" si="18"/>
        <v>-4.9847344340378186</v>
      </c>
      <c r="T42" s="3">
        <f t="shared" si="19"/>
        <v>-34.243919817934511</v>
      </c>
      <c r="U42" s="3">
        <f t="shared" si="20"/>
        <v>-189.8837474258471</v>
      </c>
      <c r="V42" s="3">
        <f t="shared" si="21"/>
        <v>-268.85435175296152</v>
      </c>
      <c r="W42" s="23">
        <f t="shared" si="16"/>
        <v>12.018999088292247</v>
      </c>
      <c r="X42" s="23">
        <f t="shared" si="17"/>
        <v>13.832490935031849</v>
      </c>
      <c r="Y42" s="23">
        <f t="shared" si="14"/>
        <v>-1.813491846739602</v>
      </c>
      <c r="Z42" s="3" cm="1">
        <f t="array" ref="Z42">SUMPRODUCT(S42:V42,TRANSPOSE($AH$2:$AH$5))</f>
        <v>-33.829702032879098</v>
      </c>
      <c r="AA42" s="23">
        <f t="shared" si="15"/>
        <v>-9.2462376737213248E-2</v>
      </c>
    </row>
    <row r="43" spans="1:27" x14ac:dyDescent="0.35">
      <c r="A43" s="2">
        <v>46073</v>
      </c>
      <c r="B43" s="3">
        <v>13.257</v>
      </c>
      <c r="C43" s="3">
        <v>12.545999999999999</v>
      </c>
      <c r="D43" s="3">
        <v>13.045</v>
      </c>
      <c r="E43" s="3">
        <v>13.381</v>
      </c>
      <c r="F43" s="3">
        <v>5.5130999999999999E-2</v>
      </c>
      <c r="G43" s="3">
        <f>NETWORKDAYS($A43,B$4,Feriados!$A$2:$A$1265)</f>
        <v>216</v>
      </c>
      <c r="H43" s="3">
        <f>NETWORKDAYS($A43,C$4,Feriados!$A$2:$A$1265)</f>
        <v>467</v>
      </c>
      <c r="I43" s="3">
        <f>NETWORKDAYS($A43,D$4,Feriados!$A$2:$A$1265)</f>
        <v>1216</v>
      </c>
      <c r="J43" s="3">
        <f>NETWORKDAYS($A43,E$4,Feriados!$A$2:$A$1265)</f>
        <v>2219</v>
      </c>
      <c r="K43" s="3">
        <f t="shared" si="2"/>
        <v>89879.060771494333</v>
      </c>
      <c r="L43" s="3">
        <f t="shared" si="3"/>
        <v>80329.752407960201</v>
      </c>
      <c r="M43" s="3">
        <f t="shared" si="4"/>
        <v>55340.243440694248</v>
      </c>
      <c r="N43" s="3">
        <f t="shared" si="5"/>
        <v>33093.485248867539</v>
      </c>
      <c r="O43" s="3">
        <f t="shared" si="6"/>
        <v>-6.8021574778596579</v>
      </c>
      <c r="P43" s="3">
        <f t="shared" si="7"/>
        <v>-13.227041124672205</v>
      </c>
      <c r="Q43" s="3">
        <f t="shared" si="8"/>
        <v>-23.622330489222303</v>
      </c>
      <c r="R43" s="3">
        <f t="shared" si="9"/>
        <v>-25.701530493280302</v>
      </c>
      <c r="S43" s="3">
        <f t="shared" si="18"/>
        <v>26.970619785221061</v>
      </c>
      <c r="T43" s="3">
        <f t="shared" si="19"/>
        <v>82.143975435465109</v>
      </c>
      <c r="U43" s="3">
        <f t="shared" si="20"/>
        <v>180.47290789263207</v>
      </c>
      <c r="V43" s="3">
        <f t="shared" si="21"/>
        <v>157.2552371163838</v>
      </c>
      <c r="W43" s="23">
        <f t="shared" si="16"/>
        <v>11.937717753234821</v>
      </c>
      <c r="X43" s="23">
        <f t="shared" si="17"/>
        <v>13.78969354554409</v>
      </c>
      <c r="Y43" s="23">
        <f t="shared" si="14"/>
        <v>-1.8519757923092683</v>
      </c>
      <c r="Z43" s="3" cm="1">
        <f t="array" ref="Z43">SUMPRODUCT(S43:V43,TRANSPOSE($AH$2:$AH$5))</f>
        <v>-14.369158898331683</v>
      </c>
      <c r="AA43" s="23">
        <f t="shared" si="15"/>
        <v>-3.8483945569666389E-2</v>
      </c>
    </row>
    <row r="44" spans="1:27" x14ac:dyDescent="0.35">
      <c r="A44" s="2">
        <v>46076</v>
      </c>
      <c r="B44" s="3">
        <v>13.242000000000001</v>
      </c>
      <c r="C44" s="3">
        <v>12.53</v>
      </c>
      <c r="D44" s="3">
        <v>13.045</v>
      </c>
      <c r="E44" s="3">
        <v>13.391999999999999</v>
      </c>
      <c r="F44" s="3">
        <v>5.5130999999999999E-2</v>
      </c>
      <c r="G44" s="3">
        <f>NETWORKDAYS($A44,B$4,Feriados!$A$2:$A$1265)</f>
        <v>215</v>
      </c>
      <c r="H44" s="3">
        <f>NETWORKDAYS($A44,C$4,Feriados!$A$2:$A$1265)</f>
        <v>466</v>
      </c>
      <c r="I44" s="3">
        <f>NETWORKDAYS($A44,D$4,Feriados!$A$2:$A$1265)</f>
        <v>1215</v>
      </c>
      <c r="J44" s="3">
        <f>NETWORKDAYS($A44,E$4,Feriados!$A$2:$A$1265)</f>
        <v>2218</v>
      </c>
      <c r="K44" s="3">
        <f t="shared" si="2"/>
        <v>89933.63475546494</v>
      </c>
      <c r="L44" s="3">
        <f t="shared" si="3"/>
        <v>80388.569257911309</v>
      </c>
      <c r="M44" s="3">
        <f t="shared" si="4"/>
        <v>55367.176926456581</v>
      </c>
      <c r="N44" s="3">
        <f t="shared" si="5"/>
        <v>33081.721833185693</v>
      </c>
      <c r="O44" s="3">
        <f t="shared" si="6"/>
        <v>-6.7756744974959382</v>
      </c>
      <c r="P44" s="3">
        <f t="shared" si="7"/>
        <v>-13.210259724104146</v>
      </c>
      <c r="Q44" s="3">
        <f t="shared" si="8"/>
        <v>-23.614391503609934</v>
      </c>
      <c r="R44" s="3">
        <f t="shared" si="9"/>
        <v>-25.67832499661445</v>
      </c>
      <c r="S44" s="3">
        <f t="shared" si="18"/>
        <v>5.022758976672776</v>
      </c>
      <c r="T44" s="3">
        <f t="shared" si="19"/>
        <v>14.530254151075496</v>
      </c>
      <c r="U44" s="3">
        <f t="shared" si="20"/>
        <v>-3.5761438489644206</v>
      </c>
      <c r="V44" s="3">
        <f t="shared" si="21"/>
        <v>-30.008185034399503</v>
      </c>
      <c r="W44" s="23">
        <f t="shared" si="16"/>
        <v>11.923680179045327</v>
      </c>
      <c r="X44" s="23">
        <f t="shared" si="17"/>
        <v>13.813770913662093</v>
      </c>
      <c r="Y44" s="23">
        <f t="shared" si="14"/>
        <v>-1.8900907346167664</v>
      </c>
      <c r="Z44" s="3" cm="1">
        <f t="array" ref="Z44">SUMPRODUCT(S44:V44,TRANSPOSE($AH$2:$AH$5))</f>
        <v>-14.0090282161093</v>
      </c>
      <c r="AA44" s="23">
        <f t="shared" si="15"/>
        <v>-3.8114942307498012E-2</v>
      </c>
    </row>
    <row r="45" spans="1:27" x14ac:dyDescent="0.35">
      <c r="A45" s="2">
        <v>46077</v>
      </c>
      <c r="B45" s="3">
        <v>13.228999999999999</v>
      </c>
      <c r="C45" s="3">
        <v>12.515000000000001</v>
      </c>
      <c r="D45" s="3">
        <v>13.007</v>
      </c>
      <c r="E45" s="3">
        <v>13.34</v>
      </c>
      <c r="F45" s="3">
        <v>5.5130999999999999E-2</v>
      </c>
      <c r="G45" s="3">
        <f>NETWORKDAYS($A45,B$4,Feriados!$A$2:$A$1265)</f>
        <v>214</v>
      </c>
      <c r="H45" s="3">
        <f>NETWORKDAYS($A45,C$4,Feriados!$A$2:$A$1265)</f>
        <v>465</v>
      </c>
      <c r="I45" s="3">
        <f>NETWORKDAYS($A45,D$4,Feriados!$A$2:$A$1265)</f>
        <v>1214</v>
      </c>
      <c r="J45" s="3">
        <f>NETWORKDAYS($A45,E$4,Feriados!$A$2:$A$1265)</f>
        <v>2217</v>
      </c>
      <c r="K45" s="3">
        <f t="shared" si="2"/>
        <v>89986.798815521324</v>
      </c>
      <c r="L45" s="3">
        <f t="shared" si="3"/>
        <v>80446.022074197055</v>
      </c>
      <c r="M45" s="3">
        <f t="shared" si="4"/>
        <v>55483.915766565122</v>
      </c>
      <c r="N45" s="3">
        <f t="shared" si="5"/>
        <v>33232.059038684471</v>
      </c>
      <c r="O45" s="3">
        <f t="shared" si="6"/>
        <v>-6.7489212921508708</v>
      </c>
      <c r="P45" s="3">
        <f t="shared" si="7"/>
        <v>-13.193091102668367</v>
      </c>
      <c r="Q45" s="3">
        <f t="shared" si="8"/>
        <v>-23.652655363184437</v>
      </c>
      <c r="R45" s="3">
        <f t="shared" si="9"/>
        <v>-25.79521753929162</v>
      </c>
      <c r="S45" s="3">
        <f t="shared" si="18"/>
        <v>3.5827478793362388</v>
      </c>
      <c r="T45" s="3">
        <f t="shared" si="19"/>
        <v>13.133794168155873</v>
      </c>
      <c r="U45" s="3">
        <f t="shared" si="20"/>
        <v>86.214361797210586</v>
      </c>
      <c r="V45" s="3">
        <f t="shared" si="21"/>
        <v>132.0989214349247</v>
      </c>
      <c r="W45" s="23">
        <f t="shared" si="16"/>
        <v>11.909807823714157</v>
      </c>
      <c r="X45" s="23">
        <f t="shared" si="17"/>
        <v>13.744365722336838</v>
      </c>
      <c r="Y45" s="23">
        <f t="shared" si="14"/>
        <v>-1.8345578986226805</v>
      </c>
      <c r="Z45" s="3" cm="1">
        <f t="array" ref="Z45">SUMPRODUCT(S45:V45,TRANSPOSE($AH$2:$AH$5))</f>
        <v>20.385290257341808</v>
      </c>
      <c r="AA45" s="23">
        <f t="shared" si="15"/>
        <v>5.5532835994085872E-2</v>
      </c>
    </row>
    <row r="46" spans="1:27" x14ac:dyDescent="0.35">
      <c r="A46" s="2">
        <v>46078</v>
      </c>
      <c r="B46" s="3">
        <v>13.238</v>
      </c>
      <c r="C46" s="3">
        <v>12.535</v>
      </c>
      <c r="D46" s="3">
        <v>12.989000000000001</v>
      </c>
      <c r="E46" s="3">
        <v>13.298</v>
      </c>
      <c r="F46" s="3">
        <v>5.5130999999999999E-2</v>
      </c>
      <c r="G46" s="3">
        <f>NETWORKDAYS($A46,B$4,Feriados!$A$2:$A$1265)</f>
        <v>213</v>
      </c>
      <c r="H46" s="3">
        <f>NETWORKDAYS($A46,C$4,Feriados!$A$2:$A$1265)</f>
        <v>464</v>
      </c>
      <c r="I46" s="3">
        <f>NETWORKDAYS($A46,D$4,Feriados!$A$2:$A$1265)</f>
        <v>1213</v>
      </c>
      <c r="J46" s="3">
        <f>NETWORKDAYS($A46,E$4,Feriados!$A$2:$A$1265)</f>
        <v>2216</v>
      </c>
      <c r="K46" s="3">
        <f t="shared" si="2"/>
        <v>90025.127251339727</v>
      </c>
      <c r="L46" s="3">
        <f t="shared" si="3"/>
        <v>80457.338240791505</v>
      </c>
      <c r="M46" s="3">
        <f t="shared" si="4"/>
        <v>55553.425185126391</v>
      </c>
      <c r="N46" s="3">
        <f t="shared" si="5"/>
        <v>33357.118305045435</v>
      </c>
      <c r="O46" s="3">
        <f t="shared" si="6"/>
        <v>-6.7197113231856394</v>
      </c>
      <c r="P46" s="3">
        <f t="shared" si="7"/>
        <v>-13.164230720363982</v>
      </c>
      <c r="Q46" s="3">
        <f t="shared" si="8"/>
        <v>-23.666549064812148</v>
      </c>
      <c r="R46" s="3">
        <f t="shared" si="9"/>
        <v>-25.890205463209082</v>
      </c>
      <c r="S46" s="3">
        <f t="shared" si="18"/>
        <v>-11.282186236596317</v>
      </c>
      <c r="T46" s="3">
        <f t="shared" si="19"/>
        <v>-33.034529835276771</v>
      </c>
      <c r="U46" s="3">
        <f t="shared" si="20"/>
        <v>38.920580960002553</v>
      </c>
      <c r="V46" s="3">
        <f t="shared" si="21"/>
        <v>106.73809989234724</v>
      </c>
      <c r="W46" s="23">
        <f t="shared" si="16"/>
        <v>11.941854603196722</v>
      </c>
      <c r="X46" s="23">
        <f t="shared" si="17"/>
        <v>13.67282509005161</v>
      </c>
      <c r="Y46" s="23">
        <f t="shared" si="14"/>
        <v>-1.7309704868548881</v>
      </c>
      <c r="Z46" s="3" cm="1">
        <f t="array" ref="Z46">SUMPRODUCT(S46:V46,TRANSPOSE($AH$2:$AH$5))</f>
        <v>38.256017803448749</v>
      </c>
      <c r="AA46" s="23">
        <f t="shared" si="15"/>
        <v>0.1035874117677924</v>
      </c>
    </row>
    <row r="47" spans="1:27" x14ac:dyDescent="0.35">
      <c r="A47" s="2">
        <v>46079</v>
      </c>
      <c r="B47" s="3">
        <v>13.186999999999999</v>
      </c>
      <c r="C47" s="3">
        <v>12.483000000000001</v>
      </c>
      <c r="D47" s="3">
        <v>12.955</v>
      </c>
      <c r="E47" s="3">
        <v>13.287000000000001</v>
      </c>
      <c r="F47" s="3">
        <v>5.5130999999999999E-2</v>
      </c>
      <c r="G47" s="3">
        <f>NETWORKDAYS($A47,B$4,Feriados!$A$2:$A$1265)</f>
        <v>212</v>
      </c>
      <c r="H47" s="3">
        <f>NETWORKDAYS($A47,C$4,Feriados!$A$2:$A$1265)</f>
        <v>463</v>
      </c>
      <c r="I47" s="3">
        <f>NETWORKDAYS($A47,D$4,Feriados!$A$2:$A$1265)</f>
        <v>1212</v>
      </c>
      <c r="J47" s="3">
        <f>NETWORKDAYS($A47,E$4,Feriados!$A$2:$A$1265)</f>
        <v>2215</v>
      </c>
      <c r="K47" s="3">
        <f t="shared" si="2"/>
        <v>90103.691801734822</v>
      </c>
      <c r="L47" s="3">
        <f t="shared" si="3"/>
        <v>80563.434899676591</v>
      </c>
      <c r="M47" s="3">
        <f t="shared" si="4"/>
        <v>55660.862398127028</v>
      </c>
      <c r="N47" s="3">
        <f t="shared" si="5"/>
        <v>33402.142930862836</v>
      </c>
      <c r="O47" s="3">
        <f t="shared" si="6"/>
        <v>-6.6970163092821746</v>
      </c>
      <c r="P47" s="3">
        <f t="shared" si="7"/>
        <v>-13.159262005782555</v>
      </c>
      <c r="Q47" s="3">
        <f t="shared" si="8"/>
        <v>-23.699901993043287</v>
      </c>
      <c r="R47" s="3">
        <f t="shared" si="9"/>
        <v>-25.915968514250149</v>
      </c>
      <c r="S47" s="3">
        <f t="shared" si="18"/>
        <v>28.932797490153462</v>
      </c>
      <c r="T47" s="3">
        <f t="shared" si="19"/>
        <v>61.739723739548936</v>
      </c>
      <c r="U47" s="3">
        <f t="shared" si="20"/>
        <v>76.810054161818698</v>
      </c>
      <c r="V47" s="3">
        <f t="shared" si="21"/>
        <v>26.634512924640148</v>
      </c>
      <c r="W47" s="23">
        <f t="shared" si="16"/>
        <v>11.891798605763015</v>
      </c>
      <c r="X47" s="23">
        <f t="shared" si="17"/>
        <v>13.689482736907399</v>
      </c>
      <c r="Y47" s="23">
        <f t="shared" si="14"/>
        <v>-1.7976841311443845</v>
      </c>
      <c r="Z47" s="3" cm="1">
        <f t="array" ref="Z47">SUMPRODUCT(S47:V47,TRANSPOSE($AH$2:$AH$5))</f>
        <v>-24.694584269433747</v>
      </c>
      <c r="AA47" s="23">
        <f t="shared" si="15"/>
        <v>-6.6713644289496443E-2</v>
      </c>
    </row>
    <row r="48" spans="1:27" x14ac:dyDescent="0.35">
      <c r="A48" s="2">
        <v>46080</v>
      </c>
      <c r="B48" s="3">
        <v>13.285</v>
      </c>
      <c r="C48" s="3">
        <v>12.617000000000001</v>
      </c>
      <c r="D48" s="3">
        <v>13.032</v>
      </c>
      <c r="E48" s="3">
        <v>13.318</v>
      </c>
      <c r="F48" s="3">
        <v>5.5130999999999999E-2</v>
      </c>
      <c r="G48" s="3">
        <f>NETWORKDAYS($A48,B$4,Feriados!$A$2:$A$1265)</f>
        <v>211</v>
      </c>
      <c r="H48" s="3">
        <f>NETWORKDAYS($A48,C$4,Feriados!$A$2:$A$1265)</f>
        <v>462</v>
      </c>
      <c r="I48" s="3">
        <f>NETWORKDAYS($A48,D$4,Feriados!$A$2:$A$1265)</f>
        <v>1211</v>
      </c>
      <c r="J48" s="3">
        <f>NETWORKDAYS($A48,E$4,Feriados!$A$2:$A$1265)</f>
        <v>2214</v>
      </c>
      <c r="K48" s="3">
        <f t="shared" si="2"/>
        <v>90082.691990475752</v>
      </c>
      <c r="L48" s="3">
        <f t="shared" si="3"/>
        <v>80425.311374522033</v>
      </c>
      <c r="M48" s="3">
        <f t="shared" si="4"/>
        <v>55505.709505027167</v>
      </c>
      <c r="N48" s="3">
        <f t="shared" si="5"/>
        <v>33338.44744062738</v>
      </c>
      <c r="O48" s="3">
        <f t="shared" si="6"/>
        <v>-6.6581083984662879</v>
      </c>
      <c r="P48" s="3">
        <f t="shared" si="7"/>
        <v>-13.09273059898805</v>
      </c>
      <c r="Q48" s="3">
        <f t="shared" si="8"/>
        <v>-23.598252767086851</v>
      </c>
      <c r="R48" s="3">
        <f t="shared" si="9"/>
        <v>-25.847797696981491</v>
      </c>
      <c r="S48" s="3">
        <f t="shared" si="18"/>
        <v>-70.674877586294315</v>
      </c>
      <c r="T48" s="3">
        <f t="shared" si="19"/>
        <v>-182.53895244910382</v>
      </c>
      <c r="U48" s="3">
        <f t="shared" si="20"/>
        <v>-185.83928314857621</v>
      </c>
      <c r="V48" s="3">
        <f t="shared" si="21"/>
        <v>-82.110425654675055</v>
      </c>
      <c r="W48" s="23">
        <f t="shared" si="16"/>
        <v>12.058502525729708</v>
      </c>
      <c r="X48" s="23">
        <f t="shared" si="17"/>
        <v>13.664274556990573</v>
      </c>
      <c r="Y48" s="23">
        <f t="shared" si="14"/>
        <v>-1.6057720312608659</v>
      </c>
      <c r="Z48" s="3" cm="1">
        <f t="array" ref="Z48">SUMPRODUCT(S48:V48,TRANSPOSE($AH$2:$AH$5))</f>
        <v>70.796120835965084</v>
      </c>
      <c r="AA48" s="23">
        <f t="shared" si="15"/>
        <v>0.19191209988351865</v>
      </c>
    </row>
    <row r="49" spans="1:27" x14ac:dyDescent="0.35">
      <c r="A49" s="2">
        <v>46083</v>
      </c>
      <c r="B49" s="3">
        <v>13.304</v>
      </c>
      <c r="C49" s="3">
        <v>12.69</v>
      </c>
      <c r="D49" s="3">
        <v>13.118</v>
      </c>
      <c r="E49" s="3">
        <v>13.39</v>
      </c>
      <c r="F49" s="3">
        <v>5.5130999999999999E-2</v>
      </c>
      <c r="G49" s="3">
        <f>NETWORKDAYS($A49,B$4,Feriados!$A$2:$A$1265)</f>
        <v>210</v>
      </c>
      <c r="H49" s="3">
        <f>NETWORKDAYS($A49,C$4,Feriados!$A$2:$A$1265)</f>
        <v>461</v>
      </c>
      <c r="I49" s="3">
        <f>NETWORKDAYS($A49,D$4,Feriados!$A$2:$A$1265)</f>
        <v>1210</v>
      </c>
      <c r="J49" s="3">
        <f>NETWORKDAYS($A49,E$4,Feriados!$A$2:$A$1265)</f>
        <v>2213</v>
      </c>
      <c r="K49" s="3">
        <f t="shared" si="2"/>
        <v>90114.697989694614</v>
      </c>
      <c r="L49" s="3">
        <f t="shared" si="3"/>
        <v>80367.914674120606</v>
      </c>
      <c r="M49" s="3">
        <f t="shared" si="4"/>
        <v>55330.269179729999</v>
      </c>
      <c r="N49" s="3">
        <f t="shared" si="5"/>
        <v>33169.45679290915</v>
      </c>
      <c r="O49" s="3">
        <f t="shared" si="6"/>
        <v>-6.6277961641317917</v>
      </c>
      <c r="P49" s="3">
        <f t="shared" si="7"/>
        <v>-13.046610755721765</v>
      </c>
      <c r="Q49" s="3">
        <f t="shared" si="8"/>
        <v>-23.486369798511181</v>
      </c>
      <c r="R49" s="3">
        <f t="shared" si="9"/>
        <v>-25.688839012814302</v>
      </c>
      <c r="S49" s="3">
        <f t="shared" si="18"/>
        <v>-17.657489702411112</v>
      </c>
      <c r="T49" s="3">
        <f t="shared" si="19"/>
        <v>-101.73597881532623</v>
      </c>
      <c r="U49" s="3">
        <f t="shared" si="20"/>
        <v>-206.04117800438689</v>
      </c>
      <c r="V49" s="3">
        <f t="shared" si="21"/>
        <v>-187.37046717672638</v>
      </c>
      <c r="W49" s="23">
        <f t="shared" si="16"/>
        <v>12.17885200842721</v>
      </c>
      <c r="X49" s="23">
        <f t="shared" si="17"/>
        <v>13.719006181493842</v>
      </c>
      <c r="Y49" s="23">
        <f t="shared" si="14"/>
        <v>-1.5401541730666324</v>
      </c>
      <c r="Z49" s="3" cm="1">
        <f t="array" ref="Z49">SUMPRODUCT(S49:V49,TRANSPOSE($AH$2:$AH$5))</f>
        <v>23.960103282142818</v>
      </c>
      <c r="AA49" s="23">
        <f t="shared" si="15"/>
        <v>6.5617858194233492E-2</v>
      </c>
    </row>
    <row r="50" spans="1:27" x14ac:dyDescent="0.35">
      <c r="A50" s="2">
        <v>46084</v>
      </c>
      <c r="B50" s="3">
        <v>13.451000000000001</v>
      </c>
      <c r="C50" s="3">
        <v>12.871</v>
      </c>
      <c r="D50" s="3">
        <v>13.315</v>
      </c>
      <c r="E50" s="3">
        <v>13.548999999999999</v>
      </c>
      <c r="F50" s="3">
        <v>5.5130999999999999E-2</v>
      </c>
      <c r="G50" s="3">
        <f>NETWORKDAYS($A50,B$4,Feriados!$A$2:$A$1265)</f>
        <v>209</v>
      </c>
      <c r="H50" s="3">
        <f>NETWORKDAYS($A50,C$4,Feriados!$A$2:$A$1265)</f>
        <v>460</v>
      </c>
      <c r="I50" s="3">
        <f>NETWORKDAYS($A50,D$4,Feriados!$A$2:$A$1265)</f>
        <v>1209</v>
      </c>
      <c r="J50" s="3">
        <f>NETWORKDAYS($A50,E$4,Feriados!$A$2:$A$1265)</f>
        <v>2212</v>
      </c>
      <c r="K50" s="3">
        <f t="shared" si="2"/>
        <v>90062.476838833143</v>
      </c>
      <c r="L50" s="3">
        <f t="shared" si="3"/>
        <v>80170.815943111738</v>
      </c>
      <c r="M50" s="3">
        <f t="shared" si="4"/>
        <v>54897.140168194215</v>
      </c>
      <c r="N50" s="3">
        <f t="shared" si="5"/>
        <v>32780.315867250676</v>
      </c>
      <c r="O50" s="3">
        <f t="shared" si="6"/>
        <v>-6.5838708562511092</v>
      </c>
      <c r="P50" s="3">
        <f t="shared" si="7"/>
        <v>-12.965558284415781</v>
      </c>
      <c r="Q50" s="3">
        <f t="shared" si="8"/>
        <v>-23.242780331883797</v>
      </c>
      <c r="R50" s="3">
        <f t="shared" si="9"/>
        <v>-25.340454620303948</v>
      </c>
      <c r="S50" s="3">
        <f t="shared" si="18"/>
        <v>-101.90228501017555</v>
      </c>
      <c r="T50" s="3">
        <f t="shared" si="19"/>
        <v>-241.40636604785686</v>
      </c>
      <c r="U50" s="3">
        <f t="shared" si="20"/>
        <v>-463.63314223726775</v>
      </c>
      <c r="V50" s="3">
        <f t="shared" si="21"/>
        <v>-407.42757888297638</v>
      </c>
      <c r="W50" s="23">
        <f t="shared" si="16"/>
        <v>12.390314864690088</v>
      </c>
      <c r="X50" s="23">
        <f t="shared" si="17"/>
        <v>13.831702190526807</v>
      </c>
      <c r="Y50" s="23">
        <f t="shared" si="14"/>
        <v>-1.4413873258367182</v>
      </c>
      <c r="Z50" s="3" cm="1">
        <f t="array" ref="Z50">SUMPRODUCT(S50:V50,TRANSPOSE($AH$2:$AH$5))</f>
        <v>36.530113059520204</v>
      </c>
      <c r="AA50" s="23">
        <f t="shared" si="15"/>
        <v>9.8766847229914134E-2</v>
      </c>
    </row>
    <row r="51" spans="1:27" x14ac:dyDescent="0.35">
      <c r="A51" s="2">
        <v>46085</v>
      </c>
      <c r="B51" s="3">
        <v>13.388999999999999</v>
      </c>
      <c r="C51" s="3">
        <v>12.781000000000001</v>
      </c>
      <c r="D51" s="3">
        <v>13.212</v>
      </c>
      <c r="E51" s="3">
        <v>13.445</v>
      </c>
      <c r="F51" s="3">
        <v>5.5130999999999999E-2</v>
      </c>
      <c r="G51" s="3">
        <f>NETWORKDAYS($A51,B$4,Feriados!$A$2:$A$1265)</f>
        <v>208</v>
      </c>
      <c r="H51" s="3">
        <f>NETWORKDAYS($A51,C$4,Feriados!$A$2:$A$1265)</f>
        <v>459</v>
      </c>
      <c r="I51" s="3">
        <f>NETWORKDAYS($A51,D$4,Feriados!$A$2:$A$1265)</f>
        <v>1208</v>
      </c>
      <c r="J51" s="3">
        <f>NETWORKDAYS($A51,E$4,Feriados!$A$2:$A$1265)</f>
        <v>2211</v>
      </c>
      <c r="K51" s="3">
        <f t="shared" si="2"/>
        <v>90148.256472677866</v>
      </c>
      <c r="L51" s="3">
        <f t="shared" si="3"/>
        <v>80325.9673765568</v>
      </c>
      <c r="M51" s="3">
        <f t="shared" si="4"/>
        <v>55164.330712932438</v>
      </c>
      <c r="N51" s="3">
        <f t="shared" si="5"/>
        <v>33061.586621646769</v>
      </c>
      <c r="O51" s="3">
        <f t="shared" si="6"/>
        <v>-6.5621960426149908</v>
      </c>
      <c r="P51" s="3">
        <f t="shared" si="7"/>
        <v>-12.972753567294127</v>
      </c>
      <c r="Q51" s="3">
        <f t="shared" si="8"/>
        <v>-23.357818756250524</v>
      </c>
      <c r="R51" s="3">
        <f t="shared" si="9"/>
        <v>-25.569753058597378</v>
      </c>
      <c r="S51" s="3">
        <f t="shared" si="18"/>
        <v>36.127289738695254</v>
      </c>
      <c r="T51" s="3">
        <f t="shared" si="19"/>
        <v>110.95246090745786</v>
      </c>
      <c r="U51" s="3">
        <f t="shared" si="20"/>
        <v>236.92520239209261</v>
      </c>
      <c r="V51" s="3">
        <f t="shared" si="21"/>
        <v>263.19863845531654</v>
      </c>
      <c r="W51" s="23">
        <f t="shared" si="16"/>
        <v>12.279630335466818</v>
      </c>
      <c r="X51" s="23">
        <f t="shared" si="17"/>
        <v>13.726258788461166</v>
      </c>
      <c r="Y51" s="23">
        <f t="shared" si="14"/>
        <v>-1.4466284529943483</v>
      </c>
      <c r="Z51" s="3" cm="1">
        <f t="array" ref="Z51">SUMPRODUCT(S51:V51,TRANSPOSE($AH$2:$AH$5))</f>
        <v>-2.081769201878231</v>
      </c>
      <c r="AA51" s="23">
        <f t="shared" si="15"/>
        <v>-5.2411271576300322E-3</v>
      </c>
    </row>
    <row r="52" spans="1:27" x14ac:dyDescent="0.35">
      <c r="A52" s="2">
        <v>46086</v>
      </c>
      <c r="B52" s="3">
        <v>13.512</v>
      </c>
      <c r="C52" s="3">
        <v>12.978</v>
      </c>
      <c r="D52" s="3">
        <v>13.47</v>
      </c>
      <c r="E52" s="3">
        <v>13.692</v>
      </c>
      <c r="F52" s="3">
        <v>5.5130999999999999E-2</v>
      </c>
      <c r="G52" s="3">
        <f>NETWORKDAYS($A52,B$4,Feriados!$A$2:$A$1265)</f>
        <v>207</v>
      </c>
      <c r="H52" s="3">
        <f>NETWORKDAYS($A52,C$4,Feriados!$A$2:$A$1265)</f>
        <v>458</v>
      </c>
      <c r="I52" s="3">
        <f>NETWORKDAYS($A52,D$4,Feriados!$A$2:$A$1265)</f>
        <v>1207</v>
      </c>
      <c r="J52" s="3">
        <f>NETWORKDAYS($A52,E$4,Feriados!$A$2:$A$1265)</f>
        <v>2210</v>
      </c>
      <c r="K52" s="3">
        <f t="shared" si="2"/>
        <v>90112.930398338794</v>
      </c>
      <c r="L52" s="3">
        <f t="shared" si="3"/>
        <v>80109.81370215035</v>
      </c>
      <c r="M52" s="3">
        <f t="shared" si="4"/>
        <v>54593.026323754711</v>
      </c>
      <c r="N52" s="3">
        <f t="shared" si="5"/>
        <v>32453.203043819973</v>
      </c>
      <c r="O52" s="3">
        <f t="shared" si="6"/>
        <v>-6.5210141380955058</v>
      </c>
      <c r="P52" s="3">
        <f t="shared" si="7"/>
        <v>-12.887146828833671</v>
      </c>
      <c r="Q52" s="3">
        <f t="shared" si="8"/>
        <v>-23.044264120147808</v>
      </c>
      <c r="R52" s="3">
        <f t="shared" si="9"/>
        <v>-25.033374326446083</v>
      </c>
      <c r="S52" s="3">
        <f t="shared" si="18"/>
        <v>-85.025709615030792</v>
      </c>
      <c r="T52" s="3">
        <f t="shared" si="19"/>
        <v>-260.43818348083005</v>
      </c>
      <c r="U52" s="3">
        <f t="shared" si="20"/>
        <v>-601.71703634307778</v>
      </c>
      <c r="V52" s="3">
        <f t="shared" si="21"/>
        <v>-626.61076114718162</v>
      </c>
      <c r="W52" s="23">
        <f t="shared" si="16"/>
        <v>12.539500244472368</v>
      </c>
      <c r="X52" s="23">
        <f t="shared" si="17"/>
        <v>13.95972844645299</v>
      </c>
      <c r="Y52" s="23">
        <f t="shared" si="14"/>
        <v>-1.4202282019806223</v>
      </c>
      <c r="Z52" s="3" cm="1">
        <f t="array" ref="Z52">SUMPRODUCT(S52:V52,TRANSPOSE($AH$2:$AH$5))</f>
        <v>10.724451374367391</v>
      </c>
      <c r="AA52" s="23">
        <f t="shared" si="15"/>
        <v>2.6400251013726006E-2</v>
      </c>
    </row>
    <row r="53" spans="1:27" x14ac:dyDescent="0.35">
      <c r="A53" s="2">
        <v>46087</v>
      </c>
      <c r="B53" s="3">
        <v>13.657999999999999</v>
      </c>
      <c r="C53" s="3">
        <v>13.17</v>
      </c>
      <c r="D53" s="3">
        <v>13.648999999999999</v>
      </c>
      <c r="E53" s="3">
        <v>13.856</v>
      </c>
      <c r="F53" s="3">
        <v>5.5130999999999999E-2</v>
      </c>
      <c r="G53" s="3">
        <f>NETWORKDAYS($A53,B$4,Feriados!$A$2:$A$1265)</f>
        <v>206</v>
      </c>
      <c r="H53" s="3">
        <f>NETWORKDAYS($A53,C$4,Feriados!$A$2:$A$1265)</f>
        <v>457</v>
      </c>
      <c r="I53" s="3">
        <f>NETWORKDAYS($A53,D$4,Feriados!$A$2:$A$1265)</f>
        <v>1206</v>
      </c>
      <c r="J53" s="3">
        <f>NETWORKDAYS($A53,E$4,Feriados!$A$2:$A$1265)</f>
        <v>2209</v>
      </c>
      <c r="K53" s="3">
        <f t="shared" si="2"/>
        <v>90063.578427700064</v>
      </c>
      <c r="L53" s="3">
        <f t="shared" si="3"/>
        <v>79902.190411184958</v>
      </c>
      <c r="M53" s="3">
        <f t="shared" si="4"/>
        <v>54209.927285353238</v>
      </c>
      <c r="N53" s="3">
        <f t="shared" si="5"/>
        <v>32062.039399321715</v>
      </c>
      <c r="O53" s="3">
        <f t="shared" si="6"/>
        <v>-6.4776259843671271</v>
      </c>
      <c r="P53" s="3">
        <f t="shared" si="7"/>
        <v>-12.80392225557264</v>
      </c>
      <c r="Q53" s="3">
        <f t="shared" si="8"/>
        <v>-22.82758523498206</v>
      </c>
      <c r="R53" s="3">
        <f t="shared" si="9"/>
        <v>-24.68484454085614</v>
      </c>
      <c r="S53" s="3">
        <f t="shared" si="18"/>
        <v>-99.032130296647665</v>
      </c>
      <c r="T53" s="3">
        <f t="shared" si="19"/>
        <v>-251.7886323575367</v>
      </c>
      <c r="U53" s="3">
        <f t="shared" si="20"/>
        <v>-413.19671974402445</v>
      </c>
      <c r="V53" s="3">
        <f t="shared" si="21"/>
        <v>-409.05541986834942</v>
      </c>
      <c r="W53" s="23">
        <f t="shared" si="16"/>
        <v>12.771055915157014</v>
      </c>
      <c r="X53" s="23">
        <f t="shared" si="17"/>
        <v>14.10539458877842</v>
      </c>
      <c r="Y53" s="23">
        <f t="shared" si="14"/>
        <v>-1.3343386736214065</v>
      </c>
      <c r="Z53" s="3" cm="1">
        <f t="array" ref="Z53">SUMPRODUCT(S53:V53,TRANSPOSE($AH$2:$AH$5))</f>
        <v>32.961595505896014</v>
      </c>
      <c r="AA53" s="23">
        <f t="shared" si="15"/>
        <v>8.5889528359215817E-2</v>
      </c>
    </row>
    <row r="54" spans="1:27" x14ac:dyDescent="0.35">
      <c r="A54" s="2">
        <v>46090</v>
      </c>
      <c r="B54" s="3">
        <v>13.741</v>
      </c>
      <c r="C54" s="3">
        <v>13.266</v>
      </c>
      <c r="D54" s="3">
        <v>13.654999999999999</v>
      </c>
      <c r="E54" s="3">
        <v>13.83</v>
      </c>
      <c r="F54" s="3">
        <v>5.5130999999999999E-2</v>
      </c>
      <c r="G54" s="3">
        <f>NETWORKDAYS($A54,B$4,Feriados!$A$2:$A$1265)</f>
        <v>205</v>
      </c>
      <c r="H54" s="3">
        <f>NETWORKDAYS($A54,C$4,Feriados!$A$2:$A$1265)</f>
        <v>456</v>
      </c>
      <c r="I54" s="3">
        <f>NETWORKDAYS($A54,D$4,Feriados!$A$2:$A$1265)</f>
        <v>1205</v>
      </c>
      <c r="J54" s="3">
        <f>NETWORKDAYS($A54,E$4,Feriados!$A$2:$A$1265)</f>
        <v>2208</v>
      </c>
      <c r="K54" s="3">
        <f t="shared" si="2"/>
        <v>90055.850050407607</v>
      </c>
      <c r="L54" s="3">
        <f t="shared" si="3"/>
        <v>79818.865656586247</v>
      </c>
      <c r="M54" s="3">
        <f t="shared" si="4"/>
        <v>54223.767495034088</v>
      </c>
      <c r="N54" s="3">
        <f t="shared" si="5"/>
        <v>32142.809787886541</v>
      </c>
      <c r="O54" s="3">
        <f t="shared" si="6"/>
        <v>-6.4409244939852766</v>
      </c>
      <c r="P54" s="3">
        <f t="shared" si="7"/>
        <v>-12.751764682673981</v>
      </c>
      <c r="Q54" s="3">
        <f t="shared" si="8"/>
        <v>-22.81327570680557</v>
      </c>
      <c r="R54" s="3">
        <f t="shared" si="9"/>
        <v>-24.741477478826503</v>
      </c>
      <c r="S54" s="3">
        <f t="shared" si="18"/>
        <v>-57.381328715433483</v>
      </c>
      <c r="T54" s="3">
        <f t="shared" si="19"/>
        <v>-127.37563119431434</v>
      </c>
      <c r="U54" s="3">
        <f t="shared" si="20"/>
        <v>-16.046265330842289</v>
      </c>
      <c r="V54" s="3">
        <f t="shared" si="21"/>
        <v>63.094265623582032</v>
      </c>
      <c r="W54" s="23">
        <f t="shared" si="16"/>
        <v>12.879523842148766</v>
      </c>
      <c r="X54" s="23">
        <f t="shared" si="17"/>
        <v>14.040600625336076</v>
      </c>
      <c r="Y54" s="23">
        <f t="shared" si="14"/>
        <v>-1.1610767831873101</v>
      </c>
      <c r="Z54" s="3" cm="1">
        <f t="array" ref="Z54">SUMPRODUCT(S54:V54,TRANSPOSE($AH$2:$AH$5))</f>
        <v>62.229480592716655</v>
      </c>
      <c r="AA54" s="23">
        <f t="shared" si="15"/>
        <v>0.17326189043409634</v>
      </c>
    </row>
    <row r="55" spans="1:27" x14ac:dyDescent="0.35">
      <c r="A55" s="2">
        <v>46091</v>
      </c>
      <c r="B55" s="3">
        <v>13.548999999999999</v>
      </c>
      <c r="C55" s="3">
        <v>13.012</v>
      </c>
      <c r="D55" s="3">
        <v>13.422000000000001</v>
      </c>
      <c r="E55" s="3">
        <v>13.644</v>
      </c>
      <c r="F55" s="3">
        <v>5.5130999999999999E-2</v>
      </c>
      <c r="G55" s="3">
        <f>NETWORKDAYS($A55,B$4,Feriados!$A$2:$A$1265)</f>
        <v>204</v>
      </c>
      <c r="H55" s="3">
        <f>NETWORKDAYS($A55,C$4,Feriados!$A$2:$A$1265)</f>
        <v>455</v>
      </c>
      <c r="I55" s="3">
        <f>NETWORKDAYS($A55,D$4,Feriados!$A$2:$A$1265)</f>
        <v>1204</v>
      </c>
      <c r="J55" s="3">
        <f>NETWORKDAYS($A55,E$4,Feriados!$A$2:$A$1265)</f>
        <v>2207</v>
      </c>
      <c r="K55" s="3">
        <f t="shared" si="2"/>
        <v>90225.187562961029</v>
      </c>
      <c r="L55" s="3">
        <f t="shared" si="3"/>
        <v>80182.695920529557</v>
      </c>
      <c r="M55" s="3">
        <f t="shared" si="4"/>
        <v>54785.855860760217</v>
      </c>
      <c r="N55" s="3">
        <f t="shared" si="5"/>
        <v>32623.246633023551</v>
      </c>
      <c r="O55" s="3">
        <f t="shared" si="6"/>
        <v>-6.432415745710526</v>
      </c>
      <c r="P55" s="3">
        <f t="shared" si="7"/>
        <v>-12.81052561486691</v>
      </c>
      <c r="Q55" s="3">
        <f t="shared" si="8"/>
        <v>-23.077942962394999</v>
      </c>
      <c r="R55" s="3">
        <f t="shared" si="9"/>
        <v>-25.140994922281312</v>
      </c>
      <c r="S55" s="3">
        <f t="shared" si="18"/>
        <v>119.68882186213159</v>
      </c>
      <c r="T55" s="3">
        <f t="shared" si="19"/>
        <v>319.82532511817408</v>
      </c>
      <c r="U55" s="3">
        <f t="shared" si="20"/>
        <v>532.19426046843728</v>
      </c>
      <c r="V55" s="3">
        <f t="shared" si="21"/>
        <v>462.71619267284768</v>
      </c>
      <c r="W55" s="23">
        <f t="shared" si="16"/>
        <v>12.577425146580667</v>
      </c>
      <c r="X55" s="23">
        <f t="shared" si="17"/>
        <v>13.911062468937963</v>
      </c>
      <c r="Y55" s="23">
        <f t="shared" si="14"/>
        <v>-1.3336373223572959</v>
      </c>
      <c r="Z55" s="3" cm="1">
        <f t="array" ref="Z55">SUMPRODUCT(S55:V55,TRANSPOSE($AH$2:$AH$5))</f>
        <v>-64.139284639581263</v>
      </c>
      <c r="AA55" s="23">
        <f t="shared" si="15"/>
        <v>-0.17256053916998582</v>
      </c>
    </row>
    <row r="56" spans="1:27" x14ac:dyDescent="0.35">
      <c r="A56" s="2">
        <v>46092</v>
      </c>
      <c r="B56" s="3">
        <v>13.657999999999999</v>
      </c>
      <c r="C56" s="3">
        <v>13.131</v>
      </c>
      <c r="D56" s="3">
        <v>13.474</v>
      </c>
      <c r="E56" s="3">
        <v>13.654</v>
      </c>
      <c r="F56" s="3">
        <v>5.5130999999999999E-2</v>
      </c>
      <c r="G56" s="3">
        <f>NETWORKDAYS($A56,B$4,Feriados!$A$2:$A$1265)</f>
        <v>203</v>
      </c>
      <c r="H56" s="3">
        <f>NETWORKDAYS($A56,C$4,Feriados!$A$2:$A$1265)</f>
        <v>454</v>
      </c>
      <c r="I56" s="3">
        <f>NETWORKDAYS($A56,D$4,Feriados!$A$2:$A$1265)</f>
        <v>1203</v>
      </c>
      <c r="J56" s="3">
        <f>NETWORKDAYS($A56,E$4,Feriados!$A$2:$A$1265)</f>
        <v>2206</v>
      </c>
      <c r="K56" s="3">
        <f t="shared" si="2"/>
        <v>90200.948289875552</v>
      </c>
      <c r="L56" s="3">
        <f t="shared" si="3"/>
        <v>80069.667121012462</v>
      </c>
      <c r="M56" s="3">
        <f t="shared" si="4"/>
        <v>54693.436758783158</v>
      </c>
      <c r="N56" s="3">
        <f t="shared" si="5"/>
        <v>32614.676926850145</v>
      </c>
      <c r="O56" s="3">
        <f t="shared" si="6"/>
        <v>-6.3930277685062782</v>
      </c>
      <c r="P56" s="3">
        <f t="shared" si="7"/>
        <v>-12.75092552240662</v>
      </c>
      <c r="Q56" s="3">
        <f t="shared" si="8"/>
        <v>-23.009328065367654</v>
      </c>
      <c r="R56" s="3">
        <f t="shared" si="9"/>
        <v>-25.120791739056884</v>
      </c>
      <c r="S56" s="3">
        <f t="shared" si="18"/>
        <v>-73.981321240818943</v>
      </c>
      <c r="T56" s="3">
        <f t="shared" si="19"/>
        <v>-157.23432160505035</v>
      </c>
      <c r="U56" s="3">
        <f t="shared" si="20"/>
        <v>-122.62309217165603</v>
      </c>
      <c r="V56" s="3">
        <f t="shared" si="21"/>
        <v>-26.555228274661204</v>
      </c>
      <c r="W56" s="23">
        <f t="shared" si="16"/>
        <v>12.706568698155341</v>
      </c>
      <c r="X56" s="23">
        <f t="shared" si="17"/>
        <v>13.870268969319731</v>
      </c>
      <c r="Y56" s="23">
        <f t="shared" si="14"/>
        <v>-1.1637002711643909</v>
      </c>
      <c r="Z56" s="3" cm="1">
        <f t="array" ref="Z56">SUMPRODUCT(S56:V56,TRANSPOSE($AH$2:$AH$5))</f>
        <v>61.885602723061893</v>
      </c>
      <c r="AA56" s="23">
        <f t="shared" si="15"/>
        <v>0.16993705119290503</v>
      </c>
    </row>
    <row r="57" spans="1:27" x14ac:dyDescent="0.35">
      <c r="A57" s="2">
        <v>46093</v>
      </c>
      <c r="B57" s="3">
        <v>13.932</v>
      </c>
      <c r="C57" s="3">
        <v>13.412000000000001</v>
      </c>
      <c r="D57" s="3">
        <v>13.739000000000001</v>
      </c>
      <c r="E57" s="3">
        <v>13.856</v>
      </c>
      <c r="F57" s="3">
        <v>5.5130999999999999E-2</v>
      </c>
      <c r="G57" s="3">
        <f>NETWORKDAYS($A57,B$4,Feriados!$A$2:$A$1265)</f>
        <v>202</v>
      </c>
      <c r="H57" s="3">
        <f>NETWORKDAYS($A57,C$4,Feriados!$A$2:$A$1265)</f>
        <v>453</v>
      </c>
      <c r="I57" s="3">
        <f>NETWORKDAYS($A57,D$4,Feriados!$A$2:$A$1265)</f>
        <v>1202</v>
      </c>
      <c r="J57" s="3">
        <f>NETWORKDAYS($A57,E$4,Feriados!$A$2:$A$1265)</f>
        <v>2205</v>
      </c>
      <c r="K57" s="3">
        <f t="shared" si="2"/>
        <v>90072.768015422727</v>
      </c>
      <c r="L57" s="3">
        <f t="shared" si="3"/>
        <v>79752.429878441486</v>
      </c>
      <c r="M57" s="3">
        <f t="shared" si="4"/>
        <v>54115.417060059808</v>
      </c>
      <c r="N57" s="3">
        <f t="shared" si="5"/>
        <v>32128.147273005714</v>
      </c>
      <c r="O57" s="3">
        <f t="shared" si="6"/>
        <v>-6.3372175560844815</v>
      </c>
      <c r="P57" s="3">
        <f t="shared" si="7"/>
        <v>-12.641033315997324</v>
      </c>
      <c r="Q57" s="3">
        <f t="shared" si="8"/>
        <v>-22.694234134970909</v>
      </c>
      <c r="R57" s="3">
        <f t="shared" si="9"/>
        <v>-24.690950730642214</v>
      </c>
      <c r="S57" s="3">
        <f t="shared" si="18"/>
        <v>-177.9089592545206</v>
      </c>
      <c r="T57" s="3">
        <f t="shared" si="19"/>
        <v>-361.38045075147238</v>
      </c>
      <c r="U57" s="3">
        <f t="shared" si="20"/>
        <v>-608.17273734283663</v>
      </c>
      <c r="V57" s="3">
        <f t="shared" si="21"/>
        <v>-504.5104513809747</v>
      </c>
      <c r="W57" s="23">
        <f t="shared" si="16"/>
        <v>12.995238043390422</v>
      </c>
      <c r="X57" s="23">
        <f t="shared" si="17"/>
        <v>13.996371912406346</v>
      </c>
      <c r="Y57" s="23">
        <f t="shared" si="14"/>
        <v>-1.0011338690159235</v>
      </c>
      <c r="Z57" s="3" cm="1">
        <f t="array" ref="Z57">SUMPRODUCT(S57:V57,TRANSPOSE($AH$2:$AH$5))</f>
        <v>60.196886953029264</v>
      </c>
      <c r="AA57" s="23">
        <f t="shared" si="15"/>
        <v>0.1625664021484674</v>
      </c>
    </row>
    <row r="58" spans="1:27" x14ac:dyDescent="0.35">
      <c r="A58" s="2">
        <v>46094</v>
      </c>
      <c r="B58" s="3">
        <v>14.294</v>
      </c>
      <c r="C58" s="3">
        <v>13.856</v>
      </c>
      <c r="D58" s="3">
        <v>14.111000000000001</v>
      </c>
      <c r="E58" s="3">
        <v>14.154999999999999</v>
      </c>
      <c r="F58" s="3">
        <v>5.5130999999999999E-2</v>
      </c>
      <c r="G58" s="3">
        <f>NETWORKDAYS($A58,B$4,Feriados!$A$2:$A$1265)</f>
        <v>201</v>
      </c>
      <c r="H58" s="3">
        <f>NETWORKDAYS($A58,C$4,Feriados!$A$2:$A$1265)</f>
        <v>452</v>
      </c>
      <c r="I58" s="3">
        <f>NETWORKDAYS($A58,D$4,Feriados!$A$2:$A$1265)</f>
        <v>1201</v>
      </c>
      <c r="J58" s="3">
        <f>NETWORKDAYS($A58,E$4,Feriados!$A$2:$A$1265)</f>
        <v>2204</v>
      </c>
      <c r="K58" s="3">
        <f t="shared" si="2"/>
        <v>89891.660994276172</v>
      </c>
      <c r="L58" s="3">
        <f t="shared" si="3"/>
        <v>79235.01703946678</v>
      </c>
      <c r="M58" s="3">
        <f t="shared" si="4"/>
        <v>53307.014586733654</v>
      </c>
      <c r="N58" s="3">
        <f t="shared" si="5"/>
        <v>31415.750825735991</v>
      </c>
      <c r="O58" s="3">
        <f t="shared" si="6"/>
        <v>-6.273234030758295</v>
      </c>
      <c r="P58" s="3">
        <f t="shared" si="7"/>
        <v>-12.482429665346906</v>
      </c>
      <c r="Q58" s="3">
        <f t="shared" si="8"/>
        <v>-22.263801244022325</v>
      </c>
      <c r="R58" s="3">
        <f t="shared" si="9"/>
        <v>-24.069305247015897</v>
      </c>
      <c r="S58" s="3">
        <f t="shared" si="18"/>
        <v>-230.7650388811453</v>
      </c>
      <c r="T58" s="3">
        <f t="shared" si="19"/>
        <v>-561.38115109100181</v>
      </c>
      <c r="U58" s="3">
        <f t="shared" si="20"/>
        <v>-838.23684390554263</v>
      </c>
      <c r="V58" s="3">
        <f t="shared" si="21"/>
        <v>-730.10901614280738</v>
      </c>
      <c r="W58" s="23">
        <f t="shared" si="16"/>
        <v>13.506461573153249</v>
      </c>
      <c r="X58" s="23">
        <f t="shared" si="17"/>
        <v>14.207708263068032</v>
      </c>
      <c r="Y58" s="23">
        <f t="shared" si="14"/>
        <v>-0.70124668991478245</v>
      </c>
      <c r="Z58" s="3" cm="1">
        <f t="array" ref="Z58">SUMPRODUCT(S58:V58,TRANSPOSE($AH$2:$AH$5))</f>
        <v>110.88730995155424</v>
      </c>
      <c r="AA58" s="23">
        <f t="shared" si="15"/>
        <v>0.29988717910114104</v>
      </c>
    </row>
    <row r="59" spans="1:27" x14ac:dyDescent="0.35">
      <c r="A59" s="2">
        <v>46097</v>
      </c>
      <c r="B59" s="3">
        <v>14.074</v>
      </c>
      <c r="C59" s="3">
        <v>13.577</v>
      </c>
      <c r="D59" s="3">
        <v>13.747999999999999</v>
      </c>
      <c r="E59" s="3">
        <v>13.8</v>
      </c>
      <c r="F59" s="3">
        <v>5.5130999999999999E-2</v>
      </c>
      <c r="G59" s="3">
        <f>NETWORKDAYS($A59,B$4,Feriados!$A$2:$A$1265)</f>
        <v>200</v>
      </c>
      <c r="H59" s="3">
        <f>NETWORKDAYS($A59,C$4,Feriados!$A$2:$A$1265)</f>
        <v>451</v>
      </c>
      <c r="I59" s="3">
        <f>NETWORKDAYS($A59,D$4,Feriados!$A$2:$A$1265)</f>
        <v>1200</v>
      </c>
      <c r="J59" s="3">
        <f>NETWORKDAYS($A59,E$4,Feriados!$A$2:$A$1265)</f>
        <v>2203</v>
      </c>
      <c r="K59" s="3">
        <f t="shared" si="2"/>
        <v>90076.966827800527</v>
      </c>
      <c r="L59" s="3">
        <f t="shared" si="3"/>
        <v>79624.688950588548</v>
      </c>
      <c r="M59" s="3">
        <f t="shared" si="4"/>
        <v>54150.328862410388</v>
      </c>
      <c r="N59" s="3">
        <f t="shared" si="5"/>
        <v>32299.870453569361</v>
      </c>
      <c r="O59" s="3">
        <f t="shared" si="6"/>
        <v>-6.2669544517190676</v>
      </c>
      <c r="P59" s="3">
        <f t="shared" si="7"/>
        <v>-12.546811021819698</v>
      </c>
      <c r="Q59" s="3">
        <f t="shared" si="8"/>
        <v>-22.669296063985378</v>
      </c>
      <c r="R59" s="3">
        <f t="shared" si="9"/>
        <v>-24.812611449079878</v>
      </c>
      <c r="S59" s="3">
        <f t="shared" si="18"/>
        <v>135.74766190159426</v>
      </c>
      <c r="T59" s="3">
        <f t="shared" si="19"/>
        <v>345.98885387773043</v>
      </c>
      <c r="U59" s="3">
        <f t="shared" si="20"/>
        <v>813.92558546491637</v>
      </c>
      <c r="V59" s="3">
        <f t="shared" si="21"/>
        <v>866.79981024562949</v>
      </c>
      <c r="W59" s="23">
        <f t="shared" si="16"/>
        <v>13.182534605651842</v>
      </c>
      <c r="X59" s="23">
        <f t="shared" si="17"/>
        <v>13.862244594796946</v>
      </c>
      <c r="Y59" s="23">
        <f t="shared" si="14"/>
        <v>-0.67970998914510439</v>
      </c>
      <c r="Z59" s="3" cm="1">
        <f t="array" ref="Z59">SUMPRODUCT(S59:V59,TRANSPOSE($AH$2:$AH$5))</f>
        <v>4.2577883925927154</v>
      </c>
      <c r="AA59" s="23">
        <f t="shared" si="15"/>
        <v>2.1536700769678063E-2</v>
      </c>
    </row>
    <row r="60" spans="1:27" x14ac:dyDescent="0.35">
      <c r="A60" s="2">
        <v>46098</v>
      </c>
      <c r="B60" s="3">
        <v>14.157999999999999</v>
      </c>
      <c r="C60" s="3">
        <v>13.670999999999999</v>
      </c>
      <c r="D60" s="3">
        <v>13.797000000000001</v>
      </c>
      <c r="E60" s="3">
        <v>13.824999999999999</v>
      </c>
      <c r="F60" s="3">
        <v>5.5130999999999999E-2</v>
      </c>
      <c r="G60" s="3">
        <f>NETWORKDAYS($A60,B$4,Feriados!$A$2:$A$1265)</f>
        <v>199</v>
      </c>
      <c r="H60" s="3">
        <f>NETWORKDAYS($A60,C$4,Feriados!$A$2:$A$1265)</f>
        <v>450</v>
      </c>
      <c r="I60" s="3">
        <f>NETWORKDAYS($A60,D$4,Feriados!$A$2:$A$1265)</f>
        <v>1199</v>
      </c>
      <c r="J60" s="3">
        <f>NETWORKDAYS($A60,E$4,Feriados!$A$2:$A$1265)</f>
        <v>2202</v>
      </c>
      <c r="K60" s="3">
        <f t="shared" si="2"/>
        <v>90071.674833296915</v>
      </c>
      <c r="L60" s="3">
        <f t="shared" si="3"/>
        <v>79547.323245295207</v>
      </c>
      <c r="M60" s="3">
        <f t="shared" si="4"/>
        <v>54067.109908175786</v>
      </c>
      <c r="N60" s="3">
        <f t="shared" si="5"/>
        <v>32254.47518603866</v>
      </c>
      <c r="O60" s="3">
        <f t="shared" si="6"/>
        <v>-6.2306653003572068</v>
      </c>
      <c r="P60" s="3">
        <f t="shared" si="7"/>
        <v>-12.496484724288143</v>
      </c>
      <c r="Q60" s="3">
        <f t="shared" si="8"/>
        <v>-22.605857457641701</v>
      </c>
      <c r="R60" s="3">
        <f t="shared" si="9"/>
        <v>-24.761052144114689</v>
      </c>
      <c r="S60" s="3">
        <f t="shared" si="18"/>
        <v>-54.952327085455181</v>
      </c>
      <c r="T60" s="3">
        <f t="shared" si="19"/>
        <v>-121.26359255869465</v>
      </c>
      <c r="U60" s="3">
        <f t="shared" si="20"/>
        <v>-113.07257203973859</v>
      </c>
      <c r="V60" s="3">
        <f t="shared" si="21"/>
        <v>-63.202509110462415</v>
      </c>
      <c r="W60" s="23">
        <f t="shared" si="16"/>
        <v>13.286369387142027</v>
      </c>
      <c r="X60" s="23">
        <f t="shared" si="17"/>
        <v>13.858480625835767</v>
      </c>
      <c r="Y60" s="23">
        <f t="shared" si="14"/>
        <v>-0.57211123869373992</v>
      </c>
      <c r="Z60" s="3" cm="1">
        <f t="array" ref="Z60">SUMPRODUCT(S60:V60,TRANSPOSE($AH$2:$AH$5))</f>
        <v>38.646899789918045</v>
      </c>
      <c r="AA60" s="23">
        <f t="shared" si="15"/>
        <v>0.10759875045136447</v>
      </c>
    </row>
    <row r="61" spans="1:27" x14ac:dyDescent="0.35">
      <c r="A61" s="2">
        <v>46099</v>
      </c>
      <c r="B61" s="3">
        <v>14.128</v>
      </c>
      <c r="C61" s="3">
        <v>13.694000000000001</v>
      </c>
      <c r="D61" s="3">
        <v>13.859</v>
      </c>
      <c r="E61" s="3">
        <v>13.888999999999999</v>
      </c>
      <c r="F61" s="3">
        <v>5.5130999999999999E-2</v>
      </c>
      <c r="G61" s="3">
        <f>NETWORKDAYS($A61,B$4,Feriados!$A$2:$A$1265)</f>
        <v>198</v>
      </c>
      <c r="H61" s="3">
        <f>NETWORKDAYS($A61,C$4,Feriados!$A$2:$A$1265)</f>
        <v>449</v>
      </c>
      <c r="I61" s="3">
        <f>NETWORKDAYS($A61,D$4,Feriados!$A$2:$A$1265)</f>
        <v>1198</v>
      </c>
      <c r="J61" s="3">
        <f>NETWORKDAYS($A61,E$4,Feriados!$A$2:$A$1265)</f>
        <v>2201</v>
      </c>
      <c r="K61" s="3">
        <f t="shared" si="2"/>
        <v>90137.627592357996</v>
      </c>
      <c r="L61" s="3">
        <f t="shared" si="3"/>
        <v>79559.097564298325</v>
      </c>
      <c r="M61" s="3">
        <f t="shared" si="4"/>
        <v>53954.955092375531</v>
      </c>
      <c r="N61" s="3">
        <f t="shared" si="5"/>
        <v>32113.006278556186</v>
      </c>
      <c r="O61" s="3">
        <f t="shared" si="6"/>
        <v>-6.2055255221952406</v>
      </c>
      <c r="P61" s="3">
        <f t="shared" si="7"/>
        <v>-12.468037572297916</v>
      </c>
      <c r="Q61" s="3">
        <f t="shared" si="8"/>
        <v>-22.527876026790683</v>
      </c>
      <c r="R61" s="3">
        <f t="shared" si="9"/>
        <v>-24.627406920683899</v>
      </c>
      <c r="S61" s="3">
        <f t="shared" si="18"/>
        <v>16.295344008729444</v>
      </c>
      <c r="T61" s="3">
        <f t="shared" si="19"/>
        <v>-32.080915775251924</v>
      </c>
      <c r="U61" s="3">
        <f t="shared" si="20"/>
        <v>-141.96255416373606</v>
      </c>
      <c r="V61" s="3">
        <f t="shared" si="21"/>
        <v>-159.25112219729272</v>
      </c>
      <c r="W61" s="23">
        <f t="shared" si="16"/>
        <v>13.352806197635857</v>
      </c>
      <c r="X61" s="23">
        <f t="shared" si="17"/>
        <v>13.924842861724485</v>
      </c>
      <c r="Y61" s="23">
        <f t="shared" si="14"/>
        <v>-0.5720366640886283</v>
      </c>
      <c r="Z61" s="3" cm="1">
        <f t="array" ref="Z61">SUMPRODUCT(S61:V61,TRANSPOSE($AH$2:$AH$5))</f>
        <v>0.4115183245380365</v>
      </c>
      <c r="AA61" s="23">
        <f t="shared" si="15"/>
        <v>7.4574605111621395E-5</v>
      </c>
    </row>
    <row r="62" spans="1:27" x14ac:dyDescent="0.35">
      <c r="A62" s="2">
        <v>46100</v>
      </c>
      <c r="B62" s="3">
        <v>14.016999999999999</v>
      </c>
      <c r="C62" s="3">
        <v>13.583</v>
      </c>
      <c r="D62" s="3">
        <v>13.766</v>
      </c>
      <c r="E62" s="3">
        <v>13.819000000000001</v>
      </c>
      <c r="F62" s="3">
        <v>5.4266000000000002E-2</v>
      </c>
      <c r="G62" s="3">
        <f>NETWORKDAYS($A62,B$4,Feriados!$A$2:$A$1265)</f>
        <v>197</v>
      </c>
      <c r="H62" s="3">
        <f>NETWORKDAYS($A62,C$4,Feriados!$A$2:$A$1265)</f>
        <v>448</v>
      </c>
      <c r="I62" s="3">
        <f>NETWORKDAYS($A62,D$4,Feriados!$A$2:$A$1265)</f>
        <v>1197</v>
      </c>
      <c r="J62" s="3">
        <f>NETWORKDAYS($A62,E$4,Feriados!$A$2:$A$1265)</f>
        <v>2200</v>
      </c>
      <c r="K62" s="3">
        <f t="shared" si="2"/>
        <v>90253.537609493404</v>
      </c>
      <c r="L62" s="3">
        <f t="shared" si="3"/>
        <v>79737.971235556499</v>
      </c>
      <c r="M62" s="3">
        <f t="shared" si="4"/>
        <v>54192.686279669077</v>
      </c>
      <c r="N62" s="3">
        <f t="shared" si="5"/>
        <v>32302.502820147685</v>
      </c>
      <c r="O62" s="3">
        <f t="shared" si="6"/>
        <v>-6.1881425469239417</v>
      </c>
      <c r="P62" s="3">
        <f t="shared" si="7"/>
        <v>-12.48042341791078</v>
      </c>
      <c r="Q62" s="3">
        <f t="shared" si="8"/>
        <v>-22.626730290985723</v>
      </c>
      <c r="R62" s="3">
        <f t="shared" si="9"/>
        <v>-24.776704856068786</v>
      </c>
      <c r="S62" s="3">
        <f t="shared" si="18"/>
        <v>66.216241667454597</v>
      </c>
      <c r="T62" s="3">
        <f t="shared" si="19"/>
        <v>135.01194517999829</v>
      </c>
      <c r="U62" s="3">
        <f t="shared" si="20"/>
        <v>207.98528100156545</v>
      </c>
      <c r="V62" s="3">
        <f t="shared" si="21"/>
        <v>171.79232010006672</v>
      </c>
      <c r="W62" s="23">
        <f t="shared" si="16"/>
        <v>13.243527949494084</v>
      </c>
      <c r="X62" s="23">
        <f t="shared" si="17"/>
        <v>13.882283563724451</v>
      </c>
      <c r="Y62" s="23">
        <f t="shared" si="14"/>
        <v>-0.63875561423036764</v>
      </c>
      <c r="Z62" s="3" cm="1">
        <f t="array" ref="Z62">SUMPRODUCT(S62:V62,TRANSPOSE($AH$2:$AH$5))</f>
        <v>-24.225269463655671</v>
      </c>
      <c r="AA62" s="23">
        <f t="shared" si="15"/>
        <v>-6.6718950141739342E-2</v>
      </c>
    </row>
    <row r="63" spans="1:27" x14ac:dyDescent="0.35">
      <c r="A63" s="2">
        <v>46101</v>
      </c>
      <c r="B63" s="3">
        <v>14.305</v>
      </c>
      <c r="C63" s="3">
        <v>14.065</v>
      </c>
      <c r="D63" s="3">
        <v>14.12</v>
      </c>
      <c r="E63" s="3">
        <v>14.074999999999999</v>
      </c>
      <c r="F63" s="3">
        <v>5.4266000000000002E-2</v>
      </c>
      <c r="G63" s="3">
        <f>NETWORKDAYS($A63,B$4,Feriados!$A$2:$A$1265)</f>
        <v>196</v>
      </c>
      <c r="H63" s="3">
        <f>NETWORKDAYS($A63,C$4,Feriados!$A$2:$A$1265)</f>
        <v>447</v>
      </c>
      <c r="I63" s="3">
        <f>NETWORKDAYS($A63,D$4,Feriados!$A$2:$A$1265)</f>
        <v>1196</v>
      </c>
      <c r="J63" s="3">
        <f>NETWORKDAYS($A63,E$4,Feriados!$A$2:$A$1265)</f>
        <v>2199</v>
      </c>
      <c r="K63" s="3">
        <f t="shared" si="2"/>
        <v>90123.522109641155</v>
      </c>
      <c r="L63" s="3">
        <f t="shared" si="3"/>
        <v>79181.280364048303</v>
      </c>
      <c r="M63" s="3">
        <f t="shared" si="4"/>
        <v>53426.810946978374</v>
      </c>
      <c r="N63" s="3">
        <f t="shared" si="5"/>
        <v>31691.660903959404</v>
      </c>
      <c r="O63" s="3">
        <f t="shared" si="6"/>
        <v>-6.1323715280996556</v>
      </c>
      <c r="P63" s="3">
        <f t="shared" si="7"/>
        <v>-12.313374761511501</v>
      </c>
      <c r="Q63" s="3">
        <f t="shared" si="8"/>
        <v>-22.219185142270923</v>
      </c>
      <c r="R63" s="3">
        <f t="shared" si="9"/>
        <v>-24.242600881419122</v>
      </c>
      <c r="S63" s="3">
        <f t="shared" si="18"/>
        <v>-178.99248457141221</v>
      </c>
      <c r="T63" s="3">
        <f t="shared" si="19"/>
        <v>-599.96147897889023</v>
      </c>
      <c r="U63" s="3">
        <f t="shared" si="20"/>
        <v>-795.28353582722775</v>
      </c>
      <c r="V63" s="3">
        <f t="shared" si="21"/>
        <v>-628.3711923686642</v>
      </c>
      <c r="W63" s="23">
        <f t="shared" si="16"/>
        <v>13.877940078513863</v>
      </c>
      <c r="X63" s="23">
        <f t="shared" si="17"/>
        <v>14.021364171131466</v>
      </c>
      <c r="Y63" s="23">
        <f t="shared" si="14"/>
        <v>-0.1434240926176038</v>
      </c>
      <c r="Z63" s="3" cm="1">
        <f t="array" ref="Z63">SUMPRODUCT(S63:V63,TRANSPOSE($AH$2:$AH$5))</f>
        <v>178.307535593437</v>
      </c>
      <c r="AA63" s="23">
        <f t="shared" si="15"/>
        <v>0.49533152161276384</v>
      </c>
    </row>
  </sheetData>
  <mergeCells count="5">
    <mergeCell ref="G5:J5"/>
    <mergeCell ref="K5:N5"/>
    <mergeCell ref="S5:V5"/>
    <mergeCell ref="W5:Y5"/>
    <mergeCell ref="O5:R5"/>
  </mergeCells>
  <pageMargins left="0.7" right="0.7" top="0.75" bottom="0.75" header="0.3" footer="0.3"/>
  <ignoredErrors>
    <ignoredError sqref="AD5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29F3-8BC7-4BD8-8477-A6350B311075}">
  <sheetPr codeName="Planilha1"/>
  <dimension ref="A1:K1274"/>
  <sheetViews>
    <sheetView topLeftCell="A1210" workbookViewId="0">
      <selection activeCell="I289" sqref="I289:L290"/>
    </sheetView>
  </sheetViews>
  <sheetFormatPr defaultRowHeight="12.5" x14ac:dyDescent="0.25"/>
  <cols>
    <col min="1" max="1" width="11.26953125" style="16" customWidth="1"/>
    <col min="2" max="2" width="18" style="7" customWidth="1"/>
    <col min="3" max="3" width="45.26953125" style="7" customWidth="1"/>
    <col min="4" max="6" width="9.1796875" style="7"/>
    <col min="7" max="7" width="13.26953125" style="7" customWidth="1"/>
    <col min="8" max="8" width="9.1796875" style="7"/>
    <col min="9" max="9" width="15" style="7" customWidth="1"/>
    <col min="10" max="10" width="9.1796875" style="7"/>
    <col min="11" max="11" width="10.1796875" style="7" bestFit="1" customWidth="1"/>
    <col min="12" max="256" width="9.1796875" style="7"/>
    <col min="257" max="257" width="11.26953125" style="7" customWidth="1"/>
    <col min="258" max="258" width="18" style="7" customWidth="1"/>
    <col min="259" max="259" width="45.26953125" style="7" customWidth="1"/>
    <col min="260" max="262" width="9.1796875" style="7"/>
    <col min="263" max="263" width="13.26953125" style="7" customWidth="1"/>
    <col min="264" max="264" width="9.1796875" style="7"/>
    <col min="265" max="265" width="15" style="7" customWidth="1"/>
    <col min="266" max="266" width="9.1796875" style="7"/>
    <col min="267" max="267" width="10.1796875" style="7" bestFit="1" customWidth="1"/>
    <col min="268" max="512" width="9.1796875" style="7"/>
    <col min="513" max="513" width="11.26953125" style="7" customWidth="1"/>
    <col min="514" max="514" width="18" style="7" customWidth="1"/>
    <col min="515" max="515" width="45.26953125" style="7" customWidth="1"/>
    <col min="516" max="518" width="9.1796875" style="7"/>
    <col min="519" max="519" width="13.26953125" style="7" customWidth="1"/>
    <col min="520" max="520" width="9.1796875" style="7"/>
    <col min="521" max="521" width="15" style="7" customWidth="1"/>
    <col min="522" max="522" width="9.1796875" style="7"/>
    <col min="523" max="523" width="10.1796875" style="7" bestFit="1" customWidth="1"/>
    <col min="524" max="768" width="9.1796875" style="7"/>
    <col min="769" max="769" width="11.26953125" style="7" customWidth="1"/>
    <col min="770" max="770" width="18" style="7" customWidth="1"/>
    <col min="771" max="771" width="45.26953125" style="7" customWidth="1"/>
    <col min="772" max="774" width="9.1796875" style="7"/>
    <col min="775" max="775" width="13.26953125" style="7" customWidth="1"/>
    <col min="776" max="776" width="9.1796875" style="7"/>
    <col min="777" max="777" width="15" style="7" customWidth="1"/>
    <col min="778" max="778" width="9.1796875" style="7"/>
    <col min="779" max="779" width="10.1796875" style="7" bestFit="1" customWidth="1"/>
    <col min="780" max="1024" width="9.1796875" style="7"/>
    <col min="1025" max="1025" width="11.26953125" style="7" customWidth="1"/>
    <col min="1026" max="1026" width="18" style="7" customWidth="1"/>
    <col min="1027" max="1027" width="45.26953125" style="7" customWidth="1"/>
    <col min="1028" max="1030" width="9.1796875" style="7"/>
    <col min="1031" max="1031" width="13.26953125" style="7" customWidth="1"/>
    <col min="1032" max="1032" width="9.1796875" style="7"/>
    <col min="1033" max="1033" width="15" style="7" customWidth="1"/>
    <col min="1034" max="1034" width="9.1796875" style="7"/>
    <col min="1035" max="1035" width="10.1796875" style="7" bestFit="1" customWidth="1"/>
    <col min="1036" max="1280" width="9.1796875" style="7"/>
    <col min="1281" max="1281" width="11.26953125" style="7" customWidth="1"/>
    <col min="1282" max="1282" width="18" style="7" customWidth="1"/>
    <col min="1283" max="1283" width="45.26953125" style="7" customWidth="1"/>
    <col min="1284" max="1286" width="9.1796875" style="7"/>
    <col min="1287" max="1287" width="13.26953125" style="7" customWidth="1"/>
    <col min="1288" max="1288" width="9.1796875" style="7"/>
    <col min="1289" max="1289" width="15" style="7" customWidth="1"/>
    <col min="1290" max="1290" width="9.1796875" style="7"/>
    <col min="1291" max="1291" width="10.1796875" style="7" bestFit="1" customWidth="1"/>
    <col min="1292" max="1536" width="9.1796875" style="7"/>
    <col min="1537" max="1537" width="11.26953125" style="7" customWidth="1"/>
    <col min="1538" max="1538" width="18" style="7" customWidth="1"/>
    <col min="1539" max="1539" width="45.26953125" style="7" customWidth="1"/>
    <col min="1540" max="1542" width="9.1796875" style="7"/>
    <col min="1543" max="1543" width="13.26953125" style="7" customWidth="1"/>
    <col min="1544" max="1544" width="9.1796875" style="7"/>
    <col min="1545" max="1545" width="15" style="7" customWidth="1"/>
    <col min="1546" max="1546" width="9.1796875" style="7"/>
    <col min="1547" max="1547" width="10.1796875" style="7" bestFit="1" customWidth="1"/>
    <col min="1548" max="1792" width="9.1796875" style="7"/>
    <col min="1793" max="1793" width="11.26953125" style="7" customWidth="1"/>
    <col min="1794" max="1794" width="18" style="7" customWidth="1"/>
    <col min="1795" max="1795" width="45.26953125" style="7" customWidth="1"/>
    <col min="1796" max="1798" width="9.1796875" style="7"/>
    <col min="1799" max="1799" width="13.26953125" style="7" customWidth="1"/>
    <col min="1800" max="1800" width="9.1796875" style="7"/>
    <col min="1801" max="1801" width="15" style="7" customWidth="1"/>
    <col min="1802" max="1802" width="9.1796875" style="7"/>
    <col min="1803" max="1803" width="10.1796875" style="7" bestFit="1" customWidth="1"/>
    <col min="1804" max="2048" width="9.1796875" style="7"/>
    <col min="2049" max="2049" width="11.26953125" style="7" customWidth="1"/>
    <col min="2050" max="2050" width="18" style="7" customWidth="1"/>
    <col min="2051" max="2051" width="45.26953125" style="7" customWidth="1"/>
    <col min="2052" max="2054" width="9.1796875" style="7"/>
    <col min="2055" max="2055" width="13.26953125" style="7" customWidth="1"/>
    <col min="2056" max="2056" width="9.1796875" style="7"/>
    <col min="2057" max="2057" width="15" style="7" customWidth="1"/>
    <col min="2058" max="2058" width="9.1796875" style="7"/>
    <col min="2059" max="2059" width="10.1796875" style="7" bestFit="1" customWidth="1"/>
    <col min="2060" max="2304" width="9.1796875" style="7"/>
    <col min="2305" max="2305" width="11.26953125" style="7" customWidth="1"/>
    <col min="2306" max="2306" width="18" style="7" customWidth="1"/>
    <col min="2307" max="2307" width="45.26953125" style="7" customWidth="1"/>
    <col min="2308" max="2310" width="9.1796875" style="7"/>
    <col min="2311" max="2311" width="13.26953125" style="7" customWidth="1"/>
    <col min="2312" max="2312" width="9.1796875" style="7"/>
    <col min="2313" max="2313" width="15" style="7" customWidth="1"/>
    <col min="2314" max="2314" width="9.1796875" style="7"/>
    <col min="2315" max="2315" width="10.1796875" style="7" bestFit="1" customWidth="1"/>
    <col min="2316" max="2560" width="9.1796875" style="7"/>
    <col min="2561" max="2561" width="11.26953125" style="7" customWidth="1"/>
    <col min="2562" max="2562" width="18" style="7" customWidth="1"/>
    <col min="2563" max="2563" width="45.26953125" style="7" customWidth="1"/>
    <col min="2564" max="2566" width="9.1796875" style="7"/>
    <col min="2567" max="2567" width="13.26953125" style="7" customWidth="1"/>
    <col min="2568" max="2568" width="9.1796875" style="7"/>
    <col min="2569" max="2569" width="15" style="7" customWidth="1"/>
    <col min="2570" max="2570" width="9.1796875" style="7"/>
    <col min="2571" max="2571" width="10.1796875" style="7" bestFit="1" customWidth="1"/>
    <col min="2572" max="2816" width="9.1796875" style="7"/>
    <col min="2817" max="2817" width="11.26953125" style="7" customWidth="1"/>
    <col min="2818" max="2818" width="18" style="7" customWidth="1"/>
    <col min="2819" max="2819" width="45.26953125" style="7" customWidth="1"/>
    <col min="2820" max="2822" width="9.1796875" style="7"/>
    <col min="2823" max="2823" width="13.26953125" style="7" customWidth="1"/>
    <col min="2824" max="2824" width="9.1796875" style="7"/>
    <col min="2825" max="2825" width="15" style="7" customWidth="1"/>
    <col min="2826" max="2826" width="9.1796875" style="7"/>
    <col min="2827" max="2827" width="10.1796875" style="7" bestFit="1" customWidth="1"/>
    <col min="2828" max="3072" width="9.1796875" style="7"/>
    <col min="3073" max="3073" width="11.26953125" style="7" customWidth="1"/>
    <col min="3074" max="3074" width="18" style="7" customWidth="1"/>
    <col min="3075" max="3075" width="45.26953125" style="7" customWidth="1"/>
    <col min="3076" max="3078" width="9.1796875" style="7"/>
    <col min="3079" max="3079" width="13.26953125" style="7" customWidth="1"/>
    <col min="3080" max="3080" width="9.1796875" style="7"/>
    <col min="3081" max="3081" width="15" style="7" customWidth="1"/>
    <col min="3082" max="3082" width="9.1796875" style="7"/>
    <col min="3083" max="3083" width="10.1796875" style="7" bestFit="1" customWidth="1"/>
    <col min="3084" max="3328" width="9.1796875" style="7"/>
    <col min="3329" max="3329" width="11.26953125" style="7" customWidth="1"/>
    <col min="3330" max="3330" width="18" style="7" customWidth="1"/>
    <col min="3331" max="3331" width="45.26953125" style="7" customWidth="1"/>
    <col min="3332" max="3334" width="9.1796875" style="7"/>
    <col min="3335" max="3335" width="13.26953125" style="7" customWidth="1"/>
    <col min="3336" max="3336" width="9.1796875" style="7"/>
    <col min="3337" max="3337" width="15" style="7" customWidth="1"/>
    <col min="3338" max="3338" width="9.1796875" style="7"/>
    <col min="3339" max="3339" width="10.1796875" style="7" bestFit="1" customWidth="1"/>
    <col min="3340" max="3584" width="9.1796875" style="7"/>
    <col min="3585" max="3585" width="11.26953125" style="7" customWidth="1"/>
    <col min="3586" max="3586" width="18" style="7" customWidth="1"/>
    <col min="3587" max="3587" width="45.26953125" style="7" customWidth="1"/>
    <col min="3588" max="3590" width="9.1796875" style="7"/>
    <col min="3591" max="3591" width="13.26953125" style="7" customWidth="1"/>
    <col min="3592" max="3592" width="9.1796875" style="7"/>
    <col min="3593" max="3593" width="15" style="7" customWidth="1"/>
    <col min="3594" max="3594" width="9.1796875" style="7"/>
    <col min="3595" max="3595" width="10.1796875" style="7" bestFit="1" customWidth="1"/>
    <col min="3596" max="3840" width="9.1796875" style="7"/>
    <col min="3841" max="3841" width="11.26953125" style="7" customWidth="1"/>
    <col min="3842" max="3842" width="18" style="7" customWidth="1"/>
    <col min="3843" max="3843" width="45.26953125" style="7" customWidth="1"/>
    <col min="3844" max="3846" width="9.1796875" style="7"/>
    <col min="3847" max="3847" width="13.26953125" style="7" customWidth="1"/>
    <col min="3848" max="3848" width="9.1796875" style="7"/>
    <col min="3849" max="3849" width="15" style="7" customWidth="1"/>
    <col min="3850" max="3850" width="9.1796875" style="7"/>
    <col min="3851" max="3851" width="10.1796875" style="7" bestFit="1" customWidth="1"/>
    <col min="3852" max="4096" width="9.1796875" style="7"/>
    <col min="4097" max="4097" width="11.26953125" style="7" customWidth="1"/>
    <col min="4098" max="4098" width="18" style="7" customWidth="1"/>
    <col min="4099" max="4099" width="45.26953125" style="7" customWidth="1"/>
    <col min="4100" max="4102" width="9.1796875" style="7"/>
    <col min="4103" max="4103" width="13.26953125" style="7" customWidth="1"/>
    <col min="4104" max="4104" width="9.1796875" style="7"/>
    <col min="4105" max="4105" width="15" style="7" customWidth="1"/>
    <col min="4106" max="4106" width="9.1796875" style="7"/>
    <col min="4107" max="4107" width="10.1796875" style="7" bestFit="1" customWidth="1"/>
    <col min="4108" max="4352" width="9.1796875" style="7"/>
    <col min="4353" max="4353" width="11.26953125" style="7" customWidth="1"/>
    <col min="4354" max="4354" width="18" style="7" customWidth="1"/>
    <col min="4355" max="4355" width="45.26953125" style="7" customWidth="1"/>
    <col min="4356" max="4358" width="9.1796875" style="7"/>
    <col min="4359" max="4359" width="13.26953125" style="7" customWidth="1"/>
    <col min="4360" max="4360" width="9.1796875" style="7"/>
    <col min="4361" max="4361" width="15" style="7" customWidth="1"/>
    <col min="4362" max="4362" width="9.1796875" style="7"/>
    <col min="4363" max="4363" width="10.1796875" style="7" bestFit="1" customWidth="1"/>
    <col min="4364" max="4608" width="9.1796875" style="7"/>
    <col min="4609" max="4609" width="11.26953125" style="7" customWidth="1"/>
    <col min="4610" max="4610" width="18" style="7" customWidth="1"/>
    <col min="4611" max="4611" width="45.26953125" style="7" customWidth="1"/>
    <col min="4612" max="4614" width="9.1796875" style="7"/>
    <col min="4615" max="4615" width="13.26953125" style="7" customWidth="1"/>
    <col min="4616" max="4616" width="9.1796875" style="7"/>
    <col min="4617" max="4617" width="15" style="7" customWidth="1"/>
    <col min="4618" max="4618" width="9.1796875" style="7"/>
    <col min="4619" max="4619" width="10.1796875" style="7" bestFit="1" customWidth="1"/>
    <col min="4620" max="4864" width="9.1796875" style="7"/>
    <col min="4865" max="4865" width="11.26953125" style="7" customWidth="1"/>
    <col min="4866" max="4866" width="18" style="7" customWidth="1"/>
    <col min="4867" max="4867" width="45.26953125" style="7" customWidth="1"/>
    <col min="4868" max="4870" width="9.1796875" style="7"/>
    <col min="4871" max="4871" width="13.26953125" style="7" customWidth="1"/>
    <col min="4872" max="4872" width="9.1796875" style="7"/>
    <col min="4873" max="4873" width="15" style="7" customWidth="1"/>
    <col min="4874" max="4874" width="9.1796875" style="7"/>
    <col min="4875" max="4875" width="10.1796875" style="7" bestFit="1" customWidth="1"/>
    <col min="4876" max="5120" width="9.1796875" style="7"/>
    <col min="5121" max="5121" width="11.26953125" style="7" customWidth="1"/>
    <col min="5122" max="5122" width="18" style="7" customWidth="1"/>
    <col min="5123" max="5123" width="45.26953125" style="7" customWidth="1"/>
    <col min="5124" max="5126" width="9.1796875" style="7"/>
    <col min="5127" max="5127" width="13.26953125" style="7" customWidth="1"/>
    <col min="5128" max="5128" width="9.1796875" style="7"/>
    <col min="5129" max="5129" width="15" style="7" customWidth="1"/>
    <col min="5130" max="5130" width="9.1796875" style="7"/>
    <col min="5131" max="5131" width="10.1796875" style="7" bestFit="1" customWidth="1"/>
    <col min="5132" max="5376" width="9.1796875" style="7"/>
    <col min="5377" max="5377" width="11.26953125" style="7" customWidth="1"/>
    <col min="5378" max="5378" width="18" style="7" customWidth="1"/>
    <col min="5379" max="5379" width="45.26953125" style="7" customWidth="1"/>
    <col min="5380" max="5382" width="9.1796875" style="7"/>
    <col min="5383" max="5383" width="13.26953125" style="7" customWidth="1"/>
    <col min="5384" max="5384" width="9.1796875" style="7"/>
    <col min="5385" max="5385" width="15" style="7" customWidth="1"/>
    <col min="5386" max="5386" width="9.1796875" style="7"/>
    <col min="5387" max="5387" width="10.1796875" style="7" bestFit="1" customWidth="1"/>
    <col min="5388" max="5632" width="9.1796875" style="7"/>
    <col min="5633" max="5633" width="11.26953125" style="7" customWidth="1"/>
    <col min="5634" max="5634" width="18" style="7" customWidth="1"/>
    <col min="5635" max="5635" width="45.26953125" style="7" customWidth="1"/>
    <col min="5636" max="5638" width="9.1796875" style="7"/>
    <col min="5639" max="5639" width="13.26953125" style="7" customWidth="1"/>
    <col min="5640" max="5640" width="9.1796875" style="7"/>
    <col min="5641" max="5641" width="15" style="7" customWidth="1"/>
    <col min="5642" max="5642" width="9.1796875" style="7"/>
    <col min="5643" max="5643" width="10.1796875" style="7" bestFit="1" customWidth="1"/>
    <col min="5644" max="5888" width="9.1796875" style="7"/>
    <col min="5889" max="5889" width="11.26953125" style="7" customWidth="1"/>
    <col min="5890" max="5890" width="18" style="7" customWidth="1"/>
    <col min="5891" max="5891" width="45.26953125" style="7" customWidth="1"/>
    <col min="5892" max="5894" width="9.1796875" style="7"/>
    <col min="5895" max="5895" width="13.26953125" style="7" customWidth="1"/>
    <col min="5896" max="5896" width="9.1796875" style="7"/>
    <col min="5897" max="5897" width="15" style="7" customWidth="1"/>
    <col min="5898" max="5898" width="9.1796875" style="7"/>
    <col min="5899" max="5899" width="10.1796875" style="7" bestFit="1" customWidth="1"/>
    <col min="5900" max="6144" width="9.1796875" style="7"/>
    <col min="6145" max="6145" width="11.26953125" style="7" customWidth="1"/>
    <col min="6146" max="6146" width="18" style="7" customWidth="1"/>
    <col min="6147" max="6147" width="45.26953125" style="7" customWidth="1"/>
    <col min="6148" max="6150" width="9.1796875" style="7"/>
    <col min="6151" max="6151" width="13.26953125" style="7" customWidth="1"/>
    <col min="6152" max="6152" width="9.1796875" style="7"/>
    <col min="6153" max="6153" width="15" style="7" customWidth="1"/>
    <col min="6154" max="6154" width="9.1796875" style="7"/>
    <col min="6155" max="6155" width="10.1796875" style="7" bestFit="1" customWidth="1"/>
    <col min="6156" max="6400" width="9.1796875" style="7"/>
    <col min="6401" max="6401" width="11.26953125" style="7" customWidth="1"/>
    <col min="6402" max="6402" width="18" style="7" customWidth="1"/>
    <col min="6403" max="6403" width="45.26953125" style="7" customWidth="1"/>
    <col min="6404" max="6406" width="9.1796875" style="7"/>
    <col min="6407" max="6407" width="13.26953125" style="7" customWidth="1"/>
    <col min="6408" max="6408" width="9.1796875" style="7"/>
    <col min="6409" max="6409" width="15" style="7" customWidth="1"/>
    <col min="6410" max="6410" width="9.1796875" style="7"/>
    <col min="6411" max="6411" width="10.1796875" style="7" bestFit="1" customWidth="1"/>
    <col min="6412" max="6656" width="9.1796875" style="7"/>
    <col min="6657" max="6657" width="11.26953125" style="7" customWidth="1"/>
    <col min="6658" max="6658" width="18" style="7" customWidth="1"/>
    <col min="6659" max="6659" width="45.26953125" style="7" customWidth="1"/>
    <col min="6660" max="6662" width="9.1796875" style="7"/>
    <col min="6663" max="6663" width="13.26953125" style="7" customWidth="1"/>
    <col min="6664" max="6664" width="9.1796875" style="7"/>
    <col min="6665" max="6665" width="15" style="7" customWidth="1"/>
    <col min="6666" max="6666" width="9.1796875" style="7"/>
    <col min="6667" max="6667" width="10.1796875" style="7" bestFit="1" customWidth="1"/>
    <col min="6668" max="6912" width="9.1796875" style="7"/>
    <col min="6913" max="6913" width="11.26953125" style="7" customWidth="1"/>
    <col min="6914" max="6914" width="18" style="7" customWidth="1"/>
    <col min="6915" max="6915" width="45.26953125" style="7" customWidth="1"/>
    <col min="6916" max="6918" width="9.1796875" style="7"/>
    <col min="6919" max="6919" width="13.26953125" style="7" customWidth="1"/>
    <col min="6920" max="6920" width="9.1796875" style="7"/>
    <col min="6921" max="6921" width="15" style="7" customWidth="1"/>
    <col min="6922" max="6922" width="9.1796875" style="7"/>
    <col min="6923" max="6923" width="10.1796875" style="7" bestFit="1" customWidth="1"/>
    <col min="6924" max="7168" width="9.1796875" style="7"/>
    <col min="7169" max="7169" width="11.26953125" style="7" customWidth="1"/>
    <col min="7170" max="7170" width="18" style="7" customWidth="1"/>
    <col min="7171" max="7171" width="45.26953125" style="7" customWidth="1"/>
    <col min="7172" max="7174" width="9.1796875" style="7"/>
    <col min="7175" max="7175" width="13.26953125" style="7" customWidth="1"/>
    <col min="7176" max="7176" width="9.1796875" style="7"/>
    <col min="7177" max="7177" width="15" style="7" customWidth="1"/>
    <col min="7178" max="7178" width="9.1796875" style="7"/>
    <col min="7179" max="7179" width="10.1796875" style="7" bestFit="1" customWidth="1"/>
    <col min="7180" max="7424" width="9.1796875" style="7"/>
    <col min="7425" max="7425" width="11.26953125" style="7" customWidth="1"/>
    <col min="7426" max="7426" width="18" style="7" customWidth="1"/>
    <col min="7427" max="7427" width="45.26953125" style="7" customWidth="1"/>
    <col min="7428" max="7430" width="9.1796875" style="7"/>
    <col min="7431" max="7431" width="13.26953125" style="7" customWidth="1"/>
    <col min="7432" max="7432" width="9.1796875" style="7"/>
    <col min="7433" max="7433" width="15" style="7" customWidth="1"/>
    <col min="7434" max="7434" width="9.1796875" style="7"/>
    <col min="7435" max="7435" width="10.1796875" style="7" bestFit="1" customWidth="1"/>
    <col min="7436" max="7680" width="9.1796875" style="7"/>
    <col min="7681" max="7681" width="11.26953125" style="7" customWidth="1"/>
    <col min="7682" max="7682" width="18" style="7" customWidth="1"/>
    <col min="7683" max="7683" width="45.26953125" style="7" customWidth="1"/>
    <col min="7684" max="7686" width="9.1796875" style="7"/>
    <col min="7687" max="7687" width="13.26953125" style="7" customWidth="1"/>
    <col min="7688" max="7688" width="9.1796875" style="7"/>
    <col min="7689" max="7689" width="15" style="7" customWidth="1"/>
    <col min="7690" max="7690" width="9.1796875" style="7"/>
    <col min="7691" max="7691" width="10.1796875" style="7" bestFit="1" customWidth="1"/>
    <col min="7692" max="7936" width="9.1796875" style="7"/>
    <col min="7937" max="7937" width="11.26953125" style="7" customWidth="1"/>
    <col min="7938" max="7938" width="18" style="7" customWidth="1"/>
    <col min="7939" max="7939" width="45.26953125" style="7" customWidth="1"/>
    <col min="7940" max="7942" width="9.1796875" style="7"/>
    <col min="7943" max="7943" width="13.26953125" style="7" customWidth="1"/>
    <col min="7944" max="7944" width="9.1796875" style="7"/>
    <col min="7945" max="7945" width="15" style="7" customWidth="1"/>
    <col min="7946" max="7946" width="9.1796875" style="7"/>
    <col min="7947" max="7947" width="10.1796875" style="7" bestFit="1" customWidth="1"/>
    <col min="7948" max="8192" width="9.1796875" style="7"/>
    <col min="8193" max="8193" width="11.26953125" style="7" customWidth="1"/>
    <col min="8194" max="8194" width="18" style="7" customWidth="1"/>
    <col min="8195" max="8195" width="45.26953125" style="7" customWidth="1"/>
    <col min="8196" max="8198" width="9.1796875" style="7"/>
    <col min="8199" max="8199" width="13.26953125" style="7" customWidth="1"/>
    <col min="8200" max="8200" width="9.1796875" style="7"/>
    <col min="8201" max="8201" width="15" style="7" customWidth="1"/>
    <col min="8202" max="8202" width="9.1796875" style="7"/>
    <col min="8203" max="8203" width="10.1796875" style="7" bestFit="1" customWidth="1"/>
    <col min="8204" max="8448" width="9.1796875" style="7"/>
    <col min="8449" max="8449" width="11.26953125" style="7" customWidth="1"/>
    <col min="8450" max="8450" width="18" style="7" customWidth="1"/>
    <col min="8451" max="8451" width="45.26953125" style="7" customWidth="1"/>
    <col min="8452" max="8454" width="9.1796875" style="7"/>
    <col min="8455" max="8455" width="13.26953125" style="7" customWidth="1"/>
    <col min="8456" max="8456" width="9.1796875" style="7"/>
    <col min="8457" max="8457" width="15" style="7" customWidth="1"/>
    <col min="8458" max="8458" width="9.1796875" style="7"/>
    <col min="8459" max="8459" width="10.1796875" style="7" bestFit="1" customWidth="1"/>
    <col min="8460" max="8704" width="9.1796875" style="7"/>
    <col min="8705" max="8705" width="11.26953125" style="7" customWidth="1"/>
    <col min="8706" max="8706" width="18" style="7" customWidth="1"/>
    <col min="8707" max="8707" width="45.26953125" style="7" customWidth="1"/>
    <col min="8708" max="8710" width="9.1796875" style="7"/>
    <col min="8711" max="8711" width="13.26953125" style="7" customWidth="1"/>
    <col min="8712" max="8712" width="9.1796875" style="7"/>
    <col min="8713" max="8713" width="15" style="7" customWidth="1"/>
    <col min="8714" max="8714" width="9.1796875" style="7"/>
    <col min="8715" max="8715" width="10.1796875" style="7" bestFit="1" customWidth="1"/>
    <col min="8716" max="8960" width="9.1796875" style="7"/>
    <col min="8961" max="8961" width="11.26953125" style="7" customWidth="1"/>
    <col min="8962" max="8962" width="18" style="7" customWidth="1"/>
    <col min="8963" max="8963" width="45.26953125" style="7" customWidth="1"/>
    <col min="8964" max="8966" width="9.1796875" style="7"/>
    <col min="8967" max="8967" width="13.26953125" style="7" customWidth="1"/>
    <col min="8968" max="8968" width="9.1796875" style="7"/>
    <col min="8969" max="8969" width="15" style="7" customWidth="1"/>
    <col min="8970" max="8970" width="9.1796875" style="7"/>
    <col min="8971" max="8971" width="10.1796875" style="7" bestFit="1" customWidth="1"/>
    <col min="8972" max="9216" width="9.1796875" style="7"/>
    <col min="9217" max="9217" width="11.26953125" style="7" customWidth="1"/>
    <col min="9218" max="9218" width="18" style="7" customWidth="1"/>
    <col min="9219" max="9219" width="45.26953125" style="7" customWidth="1"/>
    <col min="9220" max="9222" width="9.1796875" style="7"/>
    <col min="9223" max="9223" width="13.26953125" style="7" customWidth="1"/>
    <col min="9224" max="9224" width="9.1796875" style="7"/>
    <col min="9225" max="9225" width="15" style="7" customWidth="1"/>
    <col min="9226" max="9226" width="9.1796875" style="7"/>
    <col min="9227" max="9227" width="10.1796875" style="7" bestFit="1" customWidth="1"/>
    <col min="9228" max="9472" width="9.1796875" style="7"/>
    <col min="9473" max="9473" width="11.26953125" style="7" customWidth="1"/>
    <col min="9474" max="9474" width="18" style="7" customWidth="1"/>
    <col min="9475" max="9475" width="45.26953125" style="7" customWidth="1"/>
    <col min="9476" max="9478" width="9.1796875" style="7"/>
    <col min="9479" max="9479" width="13.26953125" style="7" customWidth="1"/>
    <col min="9480" max="9480" width="9.1796875" style="7"/>
    <col min="9481" max="9481" width="15" style="7" customWidth="1"/>
    <col min="9482" max="9482" width="9.1796875" style="7"/>
    <col min="9483" max="9483" width="10.1796875" style="7" bestFit="1" customWidth="1"/>
    <col min="9484" max="9728" width="9.1796875" style="7"/>
    <col min="9729" max="9729" width="11.26953125" style="7" customWidth="1"/>
    <col min="9730" max="9730" width="18" style="7" customWidth="1"/>
    <col min="9731" max="9731" width="45.26953125" style="7" customWidth="1"/>
    <col min="9732" max="9734" width="9.1796875" style="7"/>
    <col min="9735" max="9735" width="13.26953125" style="7" customWidth="1"/>
    <col min="9736" max="9736" width="9.1796875" style="7"/>
    <col min="9737" max="9737" width="15" style="7" customWidth="1"/>
    <col min="9738" max="9738" width="9.1796875" style="7"/>
    <col min="9739" max="9739" width="10.1796875" style="7" bestFit="1" customWidth="1"/>
    <col min="9740" max="9984" width="9.1796875" style="7"/>
    <col min="9985" max="9985" width="11.26953125" style="7" customWidth="1"/>
    <col min="9986" max="9986" width="18" style="7" customWidth="1"/>
    <col min="9987" max="9987" width="45.26953125" style="7" customWidth="1"/>
    <col min="9988" max="9990" width="9.1796875" style="7"/>
    <col min="9991" max="9991" width="13.26953125" style="7" customWidth="1"/>
    <col min="9992" max="9992" width="9.1796875" style="7"/>
    <col min="9993" max="9993" width="15" style="7" customWidth="1"/>
    <col min="9994" max="9994" width="9.1796875" style="7"/>
    <col min="9995" max="9995" width="10.1796875" style="7" bestFit="1" customWidth="1"/>
    <col min="9996" max="10240" width="9.1796875" style="7"/>
    <col min="10241" max="10241" width="11.26953125" style="7" customWidth="1"/>
    <col min="10242" max="10242" width="18" style="7" customWidth="1"/>
    <col min="10243" max="10243" width="45.26953125" style="7" customWidth="1"/>
    <col min="10244" max="10246" width="9.1796875" style="7"/>
    <col min="10247" max="10247" width="13.26953125" style="7" customWidth="1"/>
    <col min="10248" max="10248" width="9.1796875" style="7"/>
    <col min="10249" max="10249" width="15" style="7" customWidth="1"/>
    <col min="10250" max="10250" width="9.1796875" style="7"/>
    <col min="10251" max="10251" width="10.1796875" style="7" bestFit="1" customWidth="1"/>
    <col min="10252" max="10496" width="9.1796875" style="7"/>
    <col min="10497" max="10497" width="11.26953125" style="7" customWidth="1"/>
    <col min="10498" max="10498" width="18" style="7" customWidth="1"/>
    <col min="10499" max="10499" width="45.26953125" style="7" customWidth="1"/>
    <col min="10500" max="10502" width="9.1796875" style="7"/>
    <col min="10503" max="10503" width="13.26953125" style="7" customWidth="1"/>
    <col min="10504" max="10504" width="9.1796875" style="7"/>
    <col min="10505" max="10505" width="15" style="7" customWidth="1"/>
    <col min="10506" max="10506" width="9.1796875" style="7"/>
    <col min="10507" max="10507" width="10.1796875" style="7" bestFit="1" customWidth="1"/>
    <col min="10508" max="10752" width="9.1796875" style="7"/>
    <col min="10753" max="10753" width="11.26953125" style="7" customWidth="1"/>
    <col min="10754" max="10754" width="18" style="7" customWidth="1"/>
    <col min="10755" max="10755" width="45.26953125" style="7" customWidth="1"/>
    <col min="10756" max="10758" width="9.1796875" style="7"/>
    <col min="10759" max="10759" width="13.26953125" style="7" customWidth="1"/>
    <col min="10760" max="10760" width="9.1796875" style="7"/>
    <col min="10761" max="10761" width="15" style="7" customWidth="1"/>
    <col min="10762" max="10762" width="9.1796875" style="7"/>
    <col min="10763" max="10763" width="10.1796875" style="7" bestFit="1" customWidth="1"/>
    <col min="10764" max="11008" width="9.1796875" style="7"/>
    <col min="11009" max="11009" width="11.26953125" style="7" customWidth="1"/>
    <col min="11010" max="11010" width="18" style="7" customWidth="1"/>
    <col min="11011" max="11011" width="45.26953125" style="7" customWidth="1"/>
    <col min="11012" max="11014" width="9.1796875" style="7"/>
    <col min="11015" max="11015" width="13.26953125" style="7" customWidth="1"/>
    <col min="11016" max="11016" width="9.1796875" style="7"/>
    <col min="11017" max="11017" width="15" style="7" customWidth="1"/>
    <col min="11018" max="11018" width="9.1796875" style="7"/>
    <col min="11019" max="11019" width="10.1796875" style="7" bestFit="1" customWidth="1"/>
    <col min="11020" max="11264" width="9.1796875" style="7"/>
    <col min="11265" max="11265" width="11.26953125" style="7" customWidth="1"/>
    <col min="11266" max="11266" width="18" style="7" customWidth="1"/>
    <col min="11267" max="11267" width="45.26953125" style="7" customWidth="1"/>
    <col min="11268" max="11270" width="9.1796875" style="7"/>
    <col min="11271" max="11271" width="13.26953125" style="7" customWidth="1"/>
    <col min="11272" max="11272" width="9.1796875" style="7"/>
    <col min="11273" max="11273" width="15" style="7" customWidth="1"/>
    <col min="11274" max="11274" width="9.1796875" style="7"/>
    <col min="11275" max="11275" width="10.1796875" style="7" bestFit="1" customWidth="1"/>
    <col min="11276" max="11520" width="9.1796875" style="7"/>
    <col min="11521" max="11521" width="11.26953125" style="7" customWidth="1"/>
    <col min="11522" max="11522" width="18" style="7" customWidth="1"/>
    <col min="11523" max="11523" width="45.26953125" style="7" customWidth="1"/>
    <col min="11524" max="11526" width="9.1796875" style="7"/>
    <col min="11527" max="11527" width="13.26953125" style="7" customWidth="1"/>
    <col min="11528" max="11528" width="9.1796875" style="7"/>
    <col min="11529" max="11529" width="15" style="7" customWidth="1"/>
    <col min="11530" max="11530" width="9.1796875" style="7"/>
    <col min="11531" max="11531" width="10.1796875" style="7" bestFit="1" customWidth="1"/>
    <col min="11532" max="11776" width="9.1796875" style="7"/>
    <col min="11777" max="11777" width="11.26953125" style="7" customWidth="1"/>
    <col min="11778" max="11778" width="18" style="7" customWidth="1"/>
    <col min="11779" max="11779" width="45.26953125" style="7" customWidth="1"/>
    <col min="11780" max="11782" width="9.1796875" style="7"/>
    <col min="11783" max="11783" width="13.26953125" style="7" customWidth="1"/>
    <col min="11784" max="11784" width="9.1796875" style="7"/>
    <col min="11785" max="11785" width="15" style="7" customWidth="1"/>
    <col min="11786" max="11786" width="9.1796875" style="7"/>
    <col min="11787" max="11787" width="10.1796875" style="7" bestFit="1" customWidth="1"/>
    <col min="11788" max="12032" width="9.1796875" style="7"/>
    <col min="12033" max="12033" width="11.26953125" style="7" customWidth="1"/>
    <col min="12034" max="12034" width="18" style="7" customWidth="1"/>
    <col min="12035" max="12035" width="45.26953125" style="7" customWidth="1"/>
    <col min="12036" max="12038" width="9.1796875" style="7"/>
    <col min="12039" max="12039" width="13.26953125" style="7" customWidth="1"/>
    <col min="12040" max="12040" width="9.1796875" style="7"/>
    <col min="12041" max="12041" width="15" style="7" customWidth="1"/>
    <col min="12042" max="12042" width="9.1796875" style="7"/>
    <col min="12043" max="12043" width="10.1796875" style="7" bestFit="1" customWidth="1"/>
    <col min="12044" max="12288" width="9.1796875" style="7"/>
    <col min="12289" max="12289" width="11.26953125" style="7" customWidth="1"/>
    <col min="12290" max="12290" width="18" style="7" customWidth="1"/>
    <col min="12291" max="12291" width="45.26953125" style="7" customWidth="1"/>
    <col min="12292" max="12294" width="9.1796875" style="7"/>
    <col min="12295" max="12295" width="13.26953125" style="7" customWidth="1"/>
    <col min="12296" max="12296" width="9.1796875" style="7"/>
    <col min="12297" max="12297" width="15" style="7" customWidth="1"/>
    <col min="12298" max="12298" width="9.1796875" style="7"/>
    <col min="12299" max="12299" width="10.1796875" style="7" bestFit="1" customWidth="1"/>
    <col min="12300" max="12544" width="9.1796875" style="7"/>
    <col min="12545" max="12545" width="11.26953125" style="7" customWidth="1"/>
    <col min="12546" max="12546" width="18" style="7" customWidth="1"/>
    <col min="12547" max="12547" width="45.26953125" style="7" customWidth="1"/>
    <col min="12548" max="12550" width="9.1796875" style="7"/>
    <col min="12551" max="12551" width="13.26953125" style="7" customWidth="1"/>
    <col min="12552" max="12552" width="9.1796875" style="7"/>
    <col min="12553" max="12553" width="15" style="7" customWidth="1"/>
    <col min="12554" max="12554" width="9.1796875" style="7"/>
    <col min="12555" max="12555" width="10.1796875" style="7" bestFit="1" customWidth="1"/>
    <col min="12556" max="12800" width="9.1796875" style="7"/>
    <col min="12801" max="12801" width="11.26953125" style="7" customWidth="1"/>
    <col min="12802" max="12802" width="18" style="7" customWidth="1"/>
    <col min="12803" max="12803" width="45.26953125" style="7" customWidth="1"/>
    <col min="12804" max="12806" width="9.1796875" style="7"/>
    <col min="12807" max="12807" width="13.26953125" style="7" customWidth="1"/>
    <col min="12808" max="12808" width="9.1796875" style="7"/>
    <col min="12809" max="12809" width="15" style="7" customWidth="1"/>
    <col min="12810" max="12810" width="9.1796875" style="7"/>
    <col min="12811" max="12811" width="10.1796875" style="7" bestFit="1" customWidth="1"/>
    <col min="12812" max="13056" width="9.1796875" style="7"/>
    <col min="13057" max="13057" width="11.26953125" style="7" customWidth="1"/>
    <col min="13058" max="13058" width="18" style="7" customWidth="1"/>
    <col min="13059" max="13059" width="45.26953125" style="7" customWidth="1"/>
    <col min="13060" max="13062" width="9.1796875" style="7"/>
    <col min="13063" max="13063" width="13.26953125" style="7" customWidth="1"/>
    <col min="13064" max="13064" width="9.1796875" style="7"/>
    <col min="13065" max="13065" width="15" style="7" customWidth="1"/>
    <col min="13066" max="13066" width="9.1796875" style="7"/>
    <col min="13067" max="13067" width="10.1796875" style="7" bestFit="1" customWidth="1"/>
    <col min="13068" max="13312" width="9.1796875" style="7"/>
    <col min="13313" max="13313" width="11.26953125" style="7" customWidth="1"/>
    <col min="13314" max="13314" width="18" style="7" customWidth="1"/>
    <col min="13315" max="13315" width="45.26953125" style="7" customWidth="1"/>
    <col min="13316" max="13318" width="9.1796875" style="7"/>
    <col min="13319" max="13319" width="13.26953125" style="7" customWidth="1"/>
    <col min="13320" max="13320" width="9.1796875" style="7"/>
    <col min="13321" max="13321" width="15" style="7" customWidth="1"/>
    <col min="13322" max="13322" width="9.1796875" style="7"/>
    <col min="13323" max="13323" width="10.1796875" style="7" bestFit="1" customWidth="1"/>
    <col min="13324" max="13568" width="9.1796875" style="7"/>
    <col min="13569" max="13569" width="11.26953125" style="7" customWidth="1"/>
    <col min="13570" max="13570" width="18" style="7" customWidth="1"/>
    <col min="13571" max="13571" width="45.26953125" style="7" customWidth="1"/>
    <col min="13572" max="13574" width="9.1796875" style="7"/>
    <col min="13575" max="13575" width="13.26953125" style="7" customWidth="1"/>
    <col min="13576" max="13576" width="9.1796875" style="7"/>
    <col min="13577" max="13577" width="15" style="7" customWidth="1"/>
    <col min="13578" max="13578" width="9.1796875" style="7"/>
    <col min="13579" max="13579" width="10.1796875" style="7" bestFit="1" customWidth="1"/>
    <col min="13580" max="13824" width="9.1796875" style="7"/>
    <col min="13825" max="13825" width="11.26953125" style="7" customWidth="1"/>
    <col min="13826" max="13826" width="18" style="7" customWidth="1"/>
    <col min="13827" max="13827" width="45.26953125" style="7" customWidth="1"/>
    <col min="13828" max="13830" width="9.1796875" style="7"/>
    <col min="13831" max="13831" width="13.26953125" style="7" customWidth="1"/>
    <col min="13832" max="13832" width="9.1796875" style="7"/>
    <col min="13833" max="13833" width="15" style="7" customWidth="1"/>
    <col min="13834" max="13834" width="9.1796875" style="7"/>
    <col min="13835" max="13835" width="10.1796875" style="7" bestFit="1" customWidth="1"/>
    <col min="13836" max="14080" width="9.1796875" style="7"/>
    <col min="14081" max="14081" width="11.26953125" style="7" customWidth="1"/>
    <col min="14082" max="14082" width="18" style="7" customWidth="1"/>
    <col min="14083" max="14083" width="45.26953125" style="7" customWidth="1"/>
    <col min="14084" max="14086" width="9.1796875" style="7"/>
    <col min="14087" max="14087" width="13.26953125" style="7" customWidth="1"/>
    <col min="14088" max="14088" width="9.1796875" style="7"/>
    <col min="14089" max="14089" width="15" style="7" customWidth="1"/>
    <col min="14090" max="14090" width="9.1796875" style="7"/>
    <col min="14091" max="14091" width="10.1796875" style="7" bestFit="1" customWidth="1"/>
    <col min="14092" max="14336" width="9.1796875" style="7"/>
    <col min="14337" max="14337" width="11.26953125" style="7" customWidth="1"/>
    <col min="14338" max="14338" width="18" style="7" customWidth="1"/>
    <col min="14339" max="14339" width="45.26953125" style="7" customWidth="1"/>
    <col min="14340" max="14342" width="9.1796875" style="7"/>
    <col min="14343" max="14343" width="13.26953125" style="7" customWidth="1"/>
    <col min="14344" max="14344" width="9.1796875" style="7"/>
    <col min="14345" max="14345" width="15" style="7" customWidth="1"/>
    <col min="14346" max="14346" width="9.1796875" style="7"/>
    <col min="14347" max="14347" width="10.1796875" style="7" bestFit="1" customWidth="1"/>
    <col min="14348" max="14592" width="9.1796875" style="7"/>
    <col min="14593" max="14593" width="11.26953125" style="7" customWidth="1"/>
    <col min="14594" max="14594" width="18" style="7" customWidth="1"/>
    <col min="14595" max="14595" width="45.26953125" style="7" customWidth="1"/>
    <col min="14596" max="14598" width="9.1796875" style="7"/>
    <col min="14599" max="14599" width="13.26953125" style="7" customWidth="1"/>
    <col min="14600" max="14600" width="9.1796875" style="7"/>
    <col min="14601" max="14601" width="15" style="7" customWidth="1"/>
    <col min="14602" max="14602" width="9.1796875" style="7"/>
    <col min="14603" max="14603" width="10.1796875" style="7" bestFit="1" customWidth="1"/>
    <col min="14604" max="14848" width="9.1796875" style="7"/>
    <col min="14849" max="14849" width="11.26953125" style="7" customWidth="1"/>
    <col min="14850" max="14850" width="18" style="7" customWidth="1"/>
    <col min="14851" max="14851" width="45.26953125" style="7" customWidth="1"/>
    <col min="14852" max="14854" width="9.1796875" style="7"/>
    <col min="14855" max="14855" width="13.26953125" style="7" customWidth="1"/>
    <col min="14856" max="14856" width="9.1796875" style="7"/>
    <col min="14857" max="14857" width="15" style="7" customWidth="1"/>
    <col min="14858" max="14858" width="9.1796875" style="7"/>
    <col min="14859" max="14859" width="10.1796875" style="7" bestFit="1" customWidth="1"/>
    <col min="14860" max="15104" width="9.1796875" style="7"/>
    <col min="15105" max="15105" width="11.26953125" style="7" customWidth="1"/>
    <col min="15106" max="15106" width="18" style="7" customWidth="1"/>
    <col min="15107" max="15107" width="45.26953125" style="7" customWidth="1"/>
    <col min="15108" max="15110" width="9.1796875" style="7"/>
    <col min="15111" max="15111" width="13.26953125" style="7" customWidth="1"/>
    <col min="15112" max="15112" width="9.1796875" style="7"/>
    <col min="15113" max="15113" width="15" style="7" customWidth="1"/>
    <col min="15114" max="15114" width="9.1796875" style="7"/>
    <col min="15115" max="15115" width="10.1796875" style="7" bestFit="1" customWidth="1"/>
    <col min="15116" max="15360" width="9.1796875" style="7"/>
    <col min="15361" max="15361" width="11.26953125" style="7" customWidth="1"/>
    <col min="15362" max="15362" width="18" style="7" customWidth="1"/>
    <col min="15363" max="15363" width="45.26953125" style="7" customWidth="1"/>
    <col min="15364" max="15366" width="9.1796875" style="7"/>
    <col min="15367" max="15367" width="13.26953125" style="7" customWidth="1"/>
    <col min="15368" max="15368" width="9.1796875" style="7"/>
    <col min="15369" max="15369" width="15" style="7" customWidth="1"/>
    <col min="15370" max="15370" width="9.1796875" style="7"/>
    <col min="15371" max="15371" width="10.1796875" style="7" bestFit="1" customWidth="1"/>
    <col min="15372" max="15616" width="9.1796875" style="7"/>
    <col min="15617" max="15617" width="11.26953125" style="7" customWidth="1"/>
    <col min="15618" max="15618" width="18" style="7" customWidth="1"/>
    <col min="15619" max="15619" width="45.26953125" style="7" customWidth="1"/>
    <col min="15620" max="15622" width="9.1796875" style="7"/>
    <col min="15623" max="15623" width="13.26953125" style="7" customWidth="1"/>
    <col min="15624" max="15624" width="9.1796875" style="7"/>
    <col min="15625" max="15625" width="15" style="7" customWidth="1"/>
    <col min="15626" max="15626" width="9.1796875" style="7"/>
    <col min="15627" max="15627" width="10.1796875" style="7" bestFit="1" customWidth="1"/>
    <col min="15628" max="15872" width="9.1796875" style="7"/>
    <col min="15873" max="15873" width="11.26953125" style="7" customWidth="1"/>
    <col min="15874" max="15874" width="18" style="7" customWidth="1"/>
    <col min="15875" max="15875" width="45.26953125" style="7" customWidth="1"/>
    <col min="15876" max="15878" width="9.1796875" style="7"/>
    <col min="15879" max="15879" width="13.26953125" style="7" customWidth="1"/>
    <col min="15880" max="15880" width="9.1796875" style="7"/>
    <col min="15881" max="15881" width="15" style="7" customWidth="1"/>
    <col min="15882" max="15882" width="9.1796875" style="7"/>
    <col min="15883" max="15883" width="10.1796875" style="7" bestFit="1" customWidth="1"/>
    <col min="15884" max="16128" width="9.1796875" style="7"/>
    <col min="16129" max="16129" width="11.26953125" style="7" customWidth="1"/>
    <col min="16130" max="16130" width="18" style="7" customWidth="1"/>
    <col min="16131" max="16131" width="45.26953125" style="7" customWidth="1"/>
    <col min="16132" max="16134" width="9.1796875" style="7"/>
    <col min="16135" max="16135" width="13.26953125" style="7" customWidth="1"/>
    <col min="16136" max="16136" width="9.1796875" style="7"/>
    <col min="16137" max="16137" width="15" style="7" customWidth="1"/>
    <col min="16138" max="16138" width="9.1796875" style="7"/>
    <col min="16139" max="16139" width="10.1796875" style="7" bestFit="1" customWidth="1"/>
    <col min="16140" max="16384" width="9.1796875" style="7"/>
  </cols>
  <sheetData>
    <row r="1" spans="1:3" ht="13" thickBot="1" x14ac:dyDescent="0.3">
      <c r="A1" s="4" t="s">
        <v>10</v>
      </c>
      <c r="B1" s="5" t="s">
        <v>11</v>
      </c>
      <c r="C1" s="6" t="s">
        <v>12</v>
      </c>
    </row>
    <row r="2" spans="1:3" ht="14.5" x14ac:dyDescent="0.35">
      <c r="A2" s="8">
        <v>36892</v>
      </c>
      <c r="B2" s="9" t="s">
        <v>13</v>
      </c>
      <c r="C2" s="9" t="s">
        <v>14</v>
      </c>
    </row>
    <row r="3" spans="1:3" ht="14.5" x14ac:dyDescent="0.35">
      <c r="A3" s="8">
        <v>36948</v>
      </c>
      <c r="B3" s="9" t="s">
        <v>13</v>
      </c>
      <c r="C3" s="9" t="s">
        <v>15</v>
      </c>
    </row>
    <row r="4" spans="1:3" ht="14.5" x14ac:dyDescent="0.35">
      <c r="A4" s="8">
        <v>36949</v>
      </c>
      <c r="B4" s="9" t="s">
        <v>16</v>
      </c>
      <c r="C4" s="9" t="s">
        <v>15</v>
      </c>
    </row>
    <row r="5" spans="1:3" ht="14.5" x14ac:dyDescent="0.35">
      <c r="A5" s="8">
        <v>36994</v>
      </c>
      <c r="B5" s="9" t="s">
        <v>17</v>
      </c>
      <c r="C5" s="9" t="s">
        <v>18</v>
      </c>
    </row>
    <row r="6" spans="1:3" ht="14.5" x14ac:dyDescent="0.35">
      <c r="A6" s="8">
        <v>37002</v>
      </c>
      <c r="B6" s="9" t="s">
        <v>19</v>
      </c>
      <c r="C6" s="9" t="s">
        <v>20</v>
      </c>
    </row>
    <row r="7" spans="1:3" ht="14.5" x14ac:dyDescent="0.35">
      <c r="A7" s="8">
        <v>37012</v>
      </c>
      <c r="B7" s="9" t="s">
        <v>16</v>
      </c>
      <c r="C7" s="9" t="s">
        <v>21</v>
      </c>
    </row>
    <row r="8" spans="1:3" ht="14.5" x14ac:dyDescent="0.35">
      <c r="A8" s="8">
        <v>37056</v>
      </c>
      <c r="B8" s="9" t="s">
        <v>22</v>
      </c>
      <c r="C8" s="9" t="s">
        <v>23</v>
      </c>
    </row>
    <row r="9" spans="1:3" ht="14.5" x14ac:dyDescent="0.35">
      <c r="A9" s="8">
        <v>37141</v>
      </c>
      <c r="B9" s="9" t="s">
        <v>17</v>
      </c>
      <c r="C9" s="9" t="s">
        <v>24</v>
      </c>
    </row>
    <row r="10" spans="1:3" ht="14.5" x14ac:dyDescent="0.35">
      <c r="A10" s="8">
        <v>37176</v>
      </c>
      <c r="B10" s="9" t="s">
        <v>17</v>
      </c>
      <c r="C10" s="9" t="s">
        <v>25</v>
      </c>
    </row>
    <row r="11" spans="1:3" ht="14.5" x14ac:dyDescent="0.35">
      <c r="A11" s="8">
        <v>37197</v>
      </c>
      <c r="B11" s="9" t="s">
        <v>17</v>
      </c>
      <c r="C11" s="9" t="s">
        <v>26</v>
      </c>
    </row>
    <row r="12" spans="1:3" ht="14.5" x14ac:dyDescent="0.35">
      <c r="A12" s="8">
        <v>37210</v>
      </c>
      <c r="B12" s="9" t="s">
        <v>22</v>
      </c>
      <c r="C12" s="9" t="s">
        <v>27</v>
      </c>
    </row>
    <row r="13" spans="1:3" ht="14.5" x14ac:dyDescent="0.35">
      <c r="A13" s="8">
        <v>37250</v>
      </c>
      <c r="B13" s="9" t="s">
        <v>16</v>
      </c>
      <c r="C13" s="9" t="s">
        <v>28</v>
      </c>
    </row>
    <row r="14" spans="1:3" ht="14.5" x14ac:dyDescent="0.35">
      <c r="A14" s="10">
        <v>37257</v>
      </c>
      <c r="B14" s="11" t="s">
        <v>16</v>
      </c>
      <c r="C14" s="11" t="s">
        <v>14</v>
      </c>
    </row>
    <row r="15" spans="1:3" ht="14.5" x14ac:dyDescent="0.35">
      <c r="A15" s="10">
        <v>37298</v>
      </c>
      <c r="B15" s="11" t="s">
        <v>13</v>
      </c>
      <c r="C15" s="11" t="s">
        <v>15</v>
      </c>
    </row>
    <row r="16" spans="1:3" ht="14.5" x14ac:dyDescent="0.35">
      <c r="A16" s="10">
        <v>37299</v>
      </c>
      <c r="B16" s="11" t="s">
        <v>16</v>
      </c>
      <c r="C16" s="11" t="s">
        <v>15</v>
      </c>
    </row>
    <row r="17" spans="1:3" ht="14.5" x14ac:dyDescent="0.35">
      <c r="A17" s="10">
        <v>37344</v>
      </c>
      <c r="B17" s="11" t="s">
        <v>17</v>
      </c>
      <c r="C17" s="11" t="s">
        <v>18</v>
      </c>
    </row>
    <row r="18" spans="1:3" ht="14.5" x14ac:dyDescent="0.35">
      <c r="A18" s="10">
        <v>37367</v>
      </c>
      <c r="B18" s="11" t="s">
        <v>29</v>
      </c>
      <c r="C18" s="11" t="s">
        <v>20</v>
      </c>
    </row>
    <row r="19" spans="1:3" ht="14.5" x14ac:dyDescent="0.35">
      <c r="A19" s="10">
        <v>37377</v>
      </c>
      <c r="B19" s="11" t="s">
        <v>30</v>
      </c>
      <c r="C19" s="11" t="s">
        <v>21</v>
      </c>
    </row>
    <row r="20" spans="1:3" ht="14.5" x14ac:dyDescent="0.35">
      <c r="A20" s="10">
        <v>37406</v>
      </c>
      <c r="B20" s="11" t="s">
        <v>22</v>
      </c>
      <c r="C20" s="11" t="s">
        <v>23</v>
      </c>
    </row>
    <row r="21" spans="1:3" ht="14.5" x14ac:dyDescent="0.35">
      <c r="A21" s="10">
        <v>37506</v>
      </c>
      <c r="B21" s="11" t="s">
        <v>19</v>
      </c>
      <c r="C21" s="11" t="s">
        <v>24</v>
      </c>
    </row>
    <row r="22" spans="1:3" ht="14.5" x14ac:dyDescent="0.35">
      <c r="A22" s="10">
        <v>37541</v>
      </c>
      <c r="B22" s="11" t="s">
        <v>19</v>
      </c>
      <c r="C22" s="11" t="s">
        <v>25</v>
      </c>
    </row>
    <row r="23" spans="1:3" ht="14.5" x14ac:dyDescent="0.35">
      <c r="A23" s="10">
        <v>37562</v>
      </c>
      <c r="B23" s="11" t="s">
        <v>19</v>
      </c>
      <c r="C23" s="11" t="s">
        <v>26</v>
      </c>
    </row>
    <row r="24" spans="1:3" ht="14.5" x14ac:dyDescent="0.35">
      <c r="A24" s="10">
        <v>37575</v>
      </c>
      <c r="B24" s="11" t="s">
        <v>17</v>
      </c>
      <c r="C24" s="11" t="s">
        <v>27</v>
      </c>
    </row>
    <row r="25" spans="1:3" ht="14.5" x14ac:dyDescent="0.35">
      <c r="A25" s="10">
        <v>37615</v>
      </c>
      <c r="B25" s="11" t="s">
        <v>30</v>
      </c>
      <c r="C25" s="11" t="s">
        <v>28</v>
      </c>
    </row>
    <row r="26" spans="1:3" ht="14.5" x14ac:dyDescent="0.35">
      <c r="A26" s="8">
        <v>37622</v>
      </c>
      <c r="B26" s="9" t="s">
        <v>30</v>
      </c>
      <c r="C26" s="9" t="s">
        <v>14</v>
      </c>
    </row>
    <row r="27" spans="1:3" ht="14.5" x14ac:dyDescent="0.35">
      <c r="A27" s="8">
        <v>37683</v>
      </c>
      <c r="B27" s="9" t="s">
        <v>13</v>
      </c>
      <c r="C27" s="9" t="s">
        <v>15</v>
      </c>
    </row>
    <row r="28" spans="1:3" ht="14.5" x14ac:dyDescent="0.35">
      <c r="A28" s="8">
        <v>37684</v>
      </c>
      <c r="B28" s="9" t="s">
        <v>16</v>
      </c>
      <c r="C28" s="9" t="s">
        <v>15</v>
      </c>
    </row>
    <row r="29" spans="1:3" ht="14.5" x14ac:dyDescent="0.35">
      <c r="A29" s="8">
        <v>37729</v>
      </c>
      <c r="B29" s="9" t="s">
        <v>17</v>
      </c>
      <c r="C29" s="9" t="s">
        <v>18</v>
      </c>
    </row>
    <row r="30" spans="1:3" ht="14.5" x14ac:dyDescent="0.35">
      <c r="A30" s="8">
        <v>37732</v>
      </c>
      <c r="B30" s="9" t="s">
        <v>13</v>
      </c>
      <c r="C30" s="9" t="s">
        <v>20</v>
      </c>
    </row>
    <row r="31" spans="1:3" ht="14.5" x14ac:dyDescent="0.35">
      <c r="A31" s="8">
        <v>37742</v>
      </c>
      <c r="B31" s="9" t="s">
        <v>22</v>
      </c>
      <c r="C31" s="9" t="s">
        <v>21</v>
      </c>
    </row>
    <row r="32" spans="1:3" ht="14.5" x14ac:dyDescent="0.35">
      <c r="A32" s="8">
        <v>37791</v>
      </c>
      <c r="B32" s="9" t="s">
        <v>22</v>
      </c>
      <c r="C32" s="9" t="s">
        <v>23</v>
      </c>
    </row>
    <row r="33" spans="1:3" ht="14.5" x14ac:dyDescent="0.35">
      <c r="A33" s="8">
        <v>37871</v>
      </c>
      <c r="B33" s="9" t="s">
        <v>29</v>
      </c>
      <c r="C33" s="9" t="s">
        <v>24</v>
      </c>
    </row>
    <row r="34" spans="1:3" ht="14.5" x14ac:dyDescent="0.35">
      <c r="A34" s="8">
        <v>37906</v>
      </c>
      <c r="B34" s="9" t="s">
        <v>29</v>
      </c>
      <c r="C34" s="9" t="s">
        <v>25</v>
      </c>
    </row>
    <row r="35" spans="1:3" ht="14.5" x14ac:dyDescent="0.35">
      <c r="A35" s="8">
        <v>37927</v>
      </c>
      <c r="B35" s="9" t="s">
        <v>29</v>
      </c>
      <c r="C35" s="9" t="s">
        <v>26</v>
      </c>
    </row>
    <row r="36" spans="1:3" ht="14.5" x14ac:dyDescent="0.35">
      <c r="A36" s="8">
        <v>37940</v>
      </c>
      <c r="B36" s="9" t="s">
        <v>19</v>
      </c>
      <c r="C36" s="9" t="s">
        <v>27</v>
      </c>
    </row>
    <row r="37" spans="1:3" ht="14.5" x14ac:dyDescent="0.35">
      <c r="A37" s="8">
        <v>37980</v>
      </c>
      <c r="B37" s="9" t="s">
        <v>22</v>
      </c>
      <c r="C37" s="9" t="s">
        <v>28</v>
      </c>
    </row>
    <row r="38" spans="1:3" ht="14.5" x14ac:dyDescent="0.35">
      <c r="A38" s="10">
        <v>37987</v>
      </c>
      <c r="B38" s="11" t="s">
        <v>22</v>
      </c>
      <c r="C38" s="11" t="s">
        <v>14</v>
      </c>
    </row>
    <row r="39" spans="1:3" ht="14.5" x14ac:dyDescent="0.35">
      <c r="A39" s="10">
        <v>38040</v>
      </c>
      <c r="B39" s="11" t="s">
        <v>13</v>
      </c>
      <c r="C39" s="11" t="s">
        <v>15</v>
      </c>
    </row>
    <row r="40" spans="1:3" ht="14.5" x14ac:dyDescent="0.35">
      <c r="A40" s="10">
        <v>38041</v>
      </c>
      <c r="B40" s="11" t="s">
        <v>16</v>
      </c>
      <c r="C40" s="11" t="s">
        <v>15</v>
      </c>
    </row>
    <row r="41" spans="1:3" ht="14.5" x14ac:dyDescent="0.35">
      <c r="A41" s="10">
        <v>38086</v>
      </c>
      <c r="B41" s="11" t="s">
        <v>17</v>
      </c>
      <c r="C41" s="11" t="s">
        <v>18</v>
      </c>
    </row>
    <row r="42" spans="1:3" ht="14.5" x14ac:dyDescent="0.35">
      <c r="A42" s="10">
        <v>38098</v>
      </c>
      <c r="B42" s="11" t="s">
        <v>30</v>
      </c>
      <c r="C42" s="11" t="s">
        <v>20</v>
      </c>
    </row>
    <row r="43" spans="1:3" ht="14.5" x14ac:dyDescent="0.35">
      <c r="A43" s="10">
        <v>38108</v>
      </c>
      <c r="B43" s="11" t="s">
        <v>19</v>
      </c>
      <c r="C43" s="11" t="s">
        <v>21</v>
      </c>
    </row>
    <row r="44" spans="1:3" ht="14.5" x14ac:dyDescent="0.35">
      <c r="A44" s="10">
        <v>38148</v>
      </c>
      <c r="B44" s="11" t="s">
        <v>22</v>
      </c>
      <c r="C44" s="11" t="s">
        <v>23</v>
      </c>
    </row>
    <row r="45" spans="1:3" ht="14.5" x14ac:dyDescent="0.35">
      <c r="A45" s="10">
        <v>38237</v>
      </c>
      <c r="B45" s="11" t="s">
        <v>16</v>
      </c>
      <c r="C45" s="11" t="s">
        <v>24</v>
      </c>
    </row>
    <row r="46" spans="1:3" ht="14.5" x14ac:dyDescent="0.35">
      <c r="A46" s="10">
        <v>38272</v>
      </c>
      <c r="B46" s="11" t="s">
        <v>16</v>
      </c>
      <c r="C46" s="11" t="s">
        <v>25</v>
      </c>
    </row>
    <row r="47" spans="1:3" ht="14.5" x14ac:dyDescent="0.35">
      <c r="A47" s="10">
        <v>38293</v>
      </c>
      <c r="B47" s="11" t="s">
        <v>16</v>
      </c>
      <c r="C47" s="11" t="s">
        <v>26</v>
      </c>
    </row>
    <row r="48" spans="1:3" ht="14.5" x14ac:dyDescent="0.35">
      <c r="A48" s="10">
        <v>38306</v>
      </c>
      <c r="B48" s="11" t="s">
        <v>13</v>
      </c>
      <c r="C48" s="11" t="s">
        <v>27</v>
      </c>
    </row>
    <row r="49" spans="1:3" ht="14.5" x14ac:dyDescent="0.35">
      <c r="A49" s="10">
        <v>38346</v>
      </c>
      <c r="B49" s="11" t="s">
        <v>19</v>
      </c>
      <c r="C49" s="11" t="s">
        <v>28</v>
      </c>
    </row>
    <row r="50" spans="1:3" ht="14.5" x14ac:dyDescent="0.35">
      <c r="A50" s="8">
        <v>38353</v>
      </c>
      <c r="B50" s="9" t="s">
        <v>19</v>
      </c>
      <c r="C50" s="9" t="s">
        <v>14</v>
      </c>
    </row>
    <row r="51" spans="1:3" ht="14.5" x14ac:dyDescent="0.35">
      <c r="A51" s="8">
        <v>38390</v>
      </c>
      <c r="B51" s="9" t="s">
        <v>13</v>
      </c>
      <c r="C51" s="9" t="s">
        <v>15</v>
      </c>
    </row>
    <row r="52" spans="1:3" ht="14.5" x14ac:dyDescent="0.35">
      <c r="A52" s="8">
        <v>38391</v>
      </c>
      <c r="B52" s="9" t="s">
        <v>16</v>
      </c>
      <c r="C52" s="9" t="s">
        <v>15</v>
      </c>
    </row>
    <row r="53" spans="1:3" ht="14.5" x14ac:dyDescent="0.35">
      <c r="A53" s="8">
        <v>38436</v>
      </c>
      <c r="B53" s="9" t="s">
        <v>17</v>
      </c>
      <c r="C53" s="9" t="s">
        <v>18</v>
      </c>
    </row>
    <row r="54" spans="1:3" ht="14.5" x14ac:dyDescent="0.35">
      <c r="A54" s="8">
        <v>38463</v>
      </c>
      <c r="B54" s="9" t="s">
        <v>22</v>
      </c>
      <c r="C54" s="9" t="s">
        <v>20</v>
      </c>
    </row>
    <row r="55" spans="1:3" ht="14.5" x14ac:dyDescent="0.35">
      <c r="A55" s="8">
        <v>38473</v>
      </c>
      <c r="B55" s="9" t="s">
        <v>29</v>
      </c>
      <c r="C55" s="9" t="s">
        <v>21</v>
      </c>
    </row>
    <row r="56" spans="1:3" ht="14.5" x14ac:dyDescent="0.35">
      <c r="A56" s="8">
        <v>38498</v>
      </c>
      <c r="B56" s="9" t="s">
        <v>22</v>
      </c>
      <c r="C56" s="9" t="s">
        <v>23</v>
      </c>
    </row>
    <row r="57" spans="1:3" ht="14.5" x14ac:dyDescent="0.35">
      <c r="A57" s="8">
        <v>38602</v>
      </c>
      <c r="B57" s="9" t="s">
        <v>30</v>
      </c>
      <c r="C57" s="9" t="s">
        <v>24</v>
      </c>
    </row>
    <row r="58" spans="1:3" ht="14.5" x14ac:dyDescent="0.35">
      <c r="A58" s="8">
        <v>38637</v>
      </c>
      <c r="B58" s="9" t="s">
        <v>30</v>
      </c>
      <c r="C58" s="9" t="s">
        <v>25</v>
      </c>
    </row>
    <row r="59" spans="1:3" ht="14.5" x14ac:dyDescent="0.35">
      <c r="A59" s="8">
        <v>38658</v>
      </c>
      <c r="B59" s="9" t="s">
        <v>30</v>
      </c>
      <c r="C59" s="9" t="s">
        <v>26</v>
      </c>
    </row>
    <row r="60" spans="1:3" ht="14.5" x14ac:dyDescent="0.35">
      <c r="A60" s="8">
        <v>38671</v>
      </c>
      <c r="B60" s="9" t="s">
        <v>16</v>
      </c>
      <c r="C60" s="9" t="s">
        <v>27</v>
      </c>
    </row>
    <row r="61" spans="1:3" ht="14.5" x14ac:dyDescent="0.35">
      <c r="A61" s="8">
        <v>38711</v>
      </c>
      <c r="B61" s="9" t="s">
        <v>29</v>
      </c>
      <c r="C61" s="9" t="s">
        <v>28</v>
      </c>
    </row>
    <row r="62" spans="1:3" ht="14.5" x14ac:dyDescent="0.35">
      <c r="A62" s="10">
        <v>38718</v>
      </c>
      <c r="B62" s="11" t="s">
        <v>29</v>
      </c>
      <c r="C62" s="11" t="s">
        <v>14</v>
      </c>
    </row>
    <row r="63" spans="1:3" ht="14.5" x14ac:dyDescent="0.35">
      <c r="A63" s="10">
        <v>38775</v>
      </c>
      <c r="B63" s="11" t="s">
        <v>13</v>
      </c>
      <c r="C63" s="11" t="s">
        <v>15</v>
      </c>
    </row>
    <row r="64" spans="1:3" ht="14.5" x14ac:dyDescent="0.35">
      <c r="A64" s="10">
        <v>38776</v>
      </c>
      <c r="B64" s="11" t="s">
        <v>16</v>
      </c>
      <c r="C64" s="11" t="s">
        <v>15</v>
      </c>
    </row>
    <row r="65" spans="1:3" ht="14.5" x14ac:dyDescent="0.35">
      <c r="A65" s="10">
        <v>38821</v>
      </c>
      <c r="B65" s="11" t="s">
        <v>17</v>
      </c>
      <c r="C65" s="11" t="s">
        <v>18</v>
      </c>
    </row>
    <row r="66" spans="1:3" ht="14.5" x14ac:dyDescent="0.35">
      <c r="A66" s="10">
        <v>38828</v>
      </c>
      <c r="B66" s="11" t="s">
        <v>17</v>
      </c>
      <c r="C66" s="11" t="s">
        <v>20</v>
      </c>
    </row>
    <row r="67" spans="1:3" ht="14.5" x14ac:dyDescent="0.35">
      <c r="A67" s="10">
        <v>38838</v>
      </c>
      <c r="B67" s="11" t="s">
        <v>13</v>
      </c>
      <c r="C67" s="11" t="s">
        <v>21</v>
      </c>
    </row>
    <row r="68" spans="1:3" ht="14.5" x14ac:dyDescent="0.35">
      <c r="A68" s="10">
        <v>38883</v>
      </c>
      <c r="B68" s="11" t="s">
        <v>22</v>
      </c>
      <c r="C68" s="11" t="s">
        <v>23</v>
      </c>
    </row>
    <row r="69" spans="1:3" ht="14.5" x14ac:dyDescent="0.35">
      <c r="A69" s="10">
        <v>38967</v>
      </c>
      <c r="B69" s="11" t="s">
        <v>22</v>
      </c>
      <c r="C69" s="11" t="s">
        <v>24</v>
      </c>
    </row>
    <row r="70" spans="1:3" ht="14.5" x14ac:dyDescent="0.35">
      <c r="A70" s="10">
        <v>39002</v>
      </c>
      <c r="B70" s="11" t="s">
        <v>22</v>
      </c>
      <c r="C70" s="11" t="s">
        <v>25</v>
      </c>
    </row>
    <row r="71" spans="1:3" ht="14.5" x14ac:dyDescent="0.35">
      <c r="A71" s="10">
        <v>39023</v>
      </c>
      <c r="B71" s="11" t="s">
        <v>22</v>
      </c>
      <c r="C71" s="11" t="s">
        <v>26</v>
      </c>
    </row>
    <row r="72" spans="1:3" ht="14.5" x14ac:dyDescent="0.35">
      <c r="A72" s="10">
        <v>39036</v>
      </c>
      <c r="B72" s="11" t="s">
        <v>30</v>
      </c>
      <c r="C72" s="11" t="s">
        <v>27</v>
      </c>
    </row>
    <row r="73" spans="1:3" ht="14.5" x14ac:dyDescent="0.35">
      <c r="A73" s="10">
        <v>39076</v>
      </c>
      <c r="B73" s="11" t="s">
        <v>13</v>
      </c>
      <c r="C73" s="11" t="s">
        <v>28</v>
      </c>
    </row>
    <row r="74" spans="1:3" ht="14.5" x14ac:dyDescent="0.35">
      <c r="A74" s="8">
        <v>39083</v>
      </c>
      <c r="B74" s="9" t="s">
        <v>13</v>
      </c>
      <c r="C74" s="9" t="s">
        <v>14</v>
      </c>
    </row>
    <row r="75" spans="1:3" ht="14.5" x14ac:dyDescent="0.35">
      <c r="A75" s="8">
        <v>39132</v>
      </c>
      <c r="B75" s="9" t="s">
        <v>13</v>
      </c>
      <c r="C75" s="9" t="s">
        <v>15</v>
      </c>
    </row>
    <row r="76" spans="1:3" ht="14.5" x14ac:dyDescent="0.35">
      <c r="A76" s="8">
        <v>39133</v>
      </c>
      <c r="B76" s="9" t="s">
        <v>16</v>
      </c>
      <c r="C76" s="9" t="s">
        <v>15</v>
      </c>
    </row>
    <row r="77" spans="1:3" ht="14.5" x14ac:dyDescent="0.35">
      <c r="A77" s="8">
        <v>39178</v>
      </c>
      <c r="B77" s="9" t="s">
        <v>17</v>
      </c>
      <c r="C77" s="9" t="s">
        <v>18</v>
      </c>
    </row>
    <row r="78" spans="1:3" ht="14.5" x14ac:dyDescent="0.35">
      <c r="A78" s="8">
        <v>39193</v>
      </c>
      <c r="B78" s="9" t="s">
        <v>19</v>
      </c>
      <c r="C78" s="9" t="s">
        <v>20</v>
      </c>
    </row>
    <row r="79" spans="1:3" ht="14.5" x14ac:dyDescent="0.35">
      <c r="A79" s="8">
        <v>39203</v>
      </c>
      <c r="B79" s="9" t="s">
        <v>16</v>
      </c>
      <c r="C79" s="9" t="s">
        <v>21</v>
      </c>
    </row>
    <row r="80" spans="1:3" ht="14.5" x14ac:dyDescent="0.35">
      <c r="A80" s="8">
        <v>39240</v>
      </c>
      <c r="B80" s="9" t="s">
        <v>22</v>
      </c>
      <c r="C80" s="9" t="s">
        <v>23</v>
      </c>
    </row>
    <row r="81" spans="1:3" ht="14.5" x14ac:dyDescent="0.35">
      <c r="A81" s="8">
        <v>39332</v>
      </c>
      <c r="B81" s="9" t="s">
        <v>17</v>
      </c>
      <c r="C81" s="9" t="s">
        <v>24</v>
      </c>
    </row>
    <row r="82" spans="1:3" ht="14.5" x14ac:dyDescent="0.35">
      <c r="A82" s="8">
        <v>39367</v>
      </c>
      <c r="B82" s="9" t="s">
        <v>17</v>
      </c>
      <c r="C82" s="9" t="s">
        <v>25</v>
      </c>
    </row>
    <row r="83" spans="1:3" ht="14.5" x14ac:dyDescent="0.35">
      <c r="A83" s="8">
        <v>39388</v>
      </c>
      <c r="B83" s="9" t="s">
        <v>17</v>
      </c>
      <c r="C83" s="9" t="s">
        <v>26</v>
      </c>
    </row>
    <row r="84" spans="1:3" ht="14.5" x14ac:dyDescent="0.35">
      <c r="A84" s="8">
        <v>39401</v>
      </c>
      <c r="B84" s="9" t="s">
        <v>22</v>
      </c>
      <c r="C84" s="9" t="s">
        <v>27</v>
      </c>
    </row>
    <row r="85" spans="1:3" ht="14.5" x14ac:dyDescent="0.35">
      <c r="A85" s="8">
        <v>39441</v>
      </c>
      <c r="B85" s="9" t="s">
        <v>16</v>
      </c>
      <c r="C85" s="9" t="s">
        <v>28</v>
      </c>
    </row>
    <row r="86" spans="1:3" ht="14.5" x14ac:dyDescent="0.35">
      <c r="A86" s="10">
        <v>39448</v>
      </c>
      <c r="B86" s="11" t="s">
        <v>16</v>
      </c>
      <c r="C86" s="11" t="s">
        <v>14</v>
      </c>
    </row>
    <row r="87" spans="1:3" ht="14.5" x14ac:dyDescent="0.35">
      <c r="A87" s="10">
        <v>39482</v>
      </c>
      <c r="B87" s="11" t="s">
        <v>13</v>
      </c>
      <c r="C87" s="11" t="s">
        <v>15</v>
      </c>
    </row>
    <row r="88" spans="1:3" ht="14.5" x14ac:dyDescent="0.35">
      <c r="A88" s="10">
        <v>39483</v>
      </c>
      <c r="B88" s="11" t="s">
        <v>16</v>
      </c>
      <c r="C88" s="11" t="s">
        <v>15</v>
      </c>
    </row>
    <row r="89" spans="1:3" ht="14.5" x14ac:dyDescent="0.35">
      <c r="A89" s="10">
        <v>39528</v>
      </c>
      <c r="B89" s="11" t="s">
        <v>17</v>
      </c>
      <c r="C89" s="11" t="s">
        <v>18</v>
      </c>
    </row>
    <row r="90" spans="1:3" ht="14.5" x14ac:dyDescent="0.35">
      <c r="A90" s="10">
        <v>39559</v>
      </c>
      <c r="B90" s="11" t="s">
        <v>13</v>
      </c>
      <c r="C90" s="11" t="s">
        <v>20</v>
      </c>
    </row>
    <row r="91" spans="1:3" ht="14.5" x14ac:dyDescent="0.35">
      <c r="A91" s="10">
        <v>39569</v>
      </c>
      <c r="B91" s="11" t="s">
        <v>22</v>
      </c>
      <c r="C91" s="11" t="s">
        <v>21</v>
      </c>
    </row>
    <row r="92" spans="1:3" ht="14.5" x14ac:dyDescent="0.35">
      <c r="A92" s="10">
        <v>39590</v>
      </c>
      <c r="B92" s="11" t="s">
        <v>22</v>
      </c>
      <c r="C92" s="11" t="s">
        <v>23</v>
      </c>
    </row>
    <row r="93" spans="1:3" ht="14.5" x14ac:dyDescent="0.35">
      <c r="A93" s="10">
        <v>39698</v>
      </c>
      <c r="B93" s="11" t="s">
        <v>29</v>
      </c>
      <c r="C93" s="11" t="s">
        <v>24</v>
      </c>
    </row>
    <row r="94" spans="1:3" ht="14.5" x14ac:dyDescent="0.35">
      <c r="A94" s="10">
        <v>39733</v>
      </c>
      <c r="B94" s="11" t="s">
        <v>29</v>
      </c>
      <c r="C94" s="11" t="s">
        <v>25</v>
      </c>
    </row>
    <row r="95" spans="1:3" ht="14.5" x14ac:dyDescent="0.35">
      <c r="A95" s="10">
        <v>39754</v>
      </c>
      <c r="B95" s="11" t="s">
        <v>29</v>
      </c>
      <c r="C95" s="11" t="s">
        <v>26</v>
      </c>
    </row>
    <row r="96" spans="1:3" ht="14.5" x14ac:dyDescent="0.35">
      <c r="A96" s="10">
        <v>39767</v>
      </c>
      <c r="B96" s="11" t="s">
        <v>19</v>
      </c>
      <c r="C96" s="11" t="s">
        <v>27</v>
      </c>
    </row>
    <row r="97" spans="1:3" ht="14.5" x14ac:dyDescent="0.35">
      <c r="A97" s="10">
        <v>39807</v>
      </c>
      <c r="B97" s="11" t="s">
        <v>22</v>
      </c>
      <c r="C97" s="11" t="s">
        <v>28</v>
      </c>
    </row>
    <row r="98" spans="1:3" ht="14.5" x14ac:dyDescent="0.35">
      <c r="A98" s="8">
        <v>39814</v>
      </c>
      <c r="B98" s="9" t="s">
        <v>22</v>
      </c>
      <c r="C98" s="9" t="s">
        <v>14</v>
      </c>
    </row>
    <row r="99" spans="1:3" ht="14.5" x14ac:dyDescent="0.35">
      <c r="A99" s="8">
        <v>39867</v>
      </c>
      <c r="B99" s="9" t="s">
        <v>13</v>
      </c>
      <c r="C99" s="9" t="s">
        <v>15</v>
      </c>
    </row>
    <row r="100" spans="1:3" ht="14.5" x14ac:dyDescent="0.35">
      <c r="A100" s="8">
        <v>39868</v>
      </c>
      <c r="B100" s="9" t="s">
        <v>16</v>
      </c>
      <c r="C100" s="9" t="s">
        <v>15</v>
      </c>
    </row>
    <row r="101" spans="1:3" ht="14.5" x14ac:dyDescent="0.35">
      <c r="A101" s="8">
        <v>39913</v>
      </c>
      <c r="B101" s="9" t="s">
        <v>17</v>
      </c>
      <c r="C101" s="9" t="s">
        <v>18</v>
      </c>
    </row>
    <row r="102" spans="1:3" ht="14.5" x14ac:dyDescent="0.35">
      <c r="A102" s="8">
        <v>39924</v>
      </c>
      <c r="B102" s="9" t="s">
        <v>16</v>
      </c>
      <c r="C102" s="9" t="s">
        <v>20</v>
      </c>
    </row>
    <row r="103" spans="1:3" ht="14.5" x14ac:dyDescent="0.35">
      <c r="A103" s="8">
        <v>39934</v>
      </c>
      <c r="B103" s="9" t="s">
        <v>17</v>
      </c>
      <c r="C103" s="9" t="s">
        <v>21</v>
      </c>
    </row>
    <row r="104" spans="1:3" ht="14.5" x14ac:dyDescent="0.35">
      <c r="A104" s="8">
        <v>39975</v>
      </c>
      <c r="B104" s="9" t="s">
        <v>22</v>
      </c>
      <c r="C104" s="9" t="s">
        <v>23</v>
      </c>
    </row>
    <row r="105" spans="1:3" ht="14.5" x14ac:dyDescent="0.35">
      <c r="A105" s="8">
        <v>40063</v>
      </c>
      <c r="B105" s="9" t="s">
        <v>13</v>
      </c>
      <c r="C105" s="9" t="s">
        <v>24</v>
      </c>
    </row>
    <row r="106" spans="1:3" ht="14.5" x14ac:dyDescent="0.35">
      <c r="A106" s="8">
        <v>40098</v>
      </c>
      <c r="B106" s="9" t="s">
        <v>13</v>
      </c>
      <c r="C106" s="9" t="s">
        <v>25</v>
      </c>
    </row>
    <row r="107" spans="1:3" ht="14.5" x14ac:dyDescent="0.35">
      <c r="A107" s="8">
        <v>40119</v>
      </c>
      <c r="B107" s="9" t="s">
        <v>13</v>
      </c>
      <c r="C107" s="9" t="s">
        <v>26</v>
      </c>
    </row>
    <row r="108" spans="1:3" ht="14.5" x14ac:dyDescent="0.35">
      <c r="A108" s="8">
        <v>40132</v>
      </c>
      <c r="B108" s="9" t="s">
        <v>29</v>
      </c>
      <c r="C108" s="9" t="s">
        <v>27</v>
      </c>
    </row>
    <row r="109" spans="1:3" ht="14.5" x14ac:dyDescent="0.35">
      <c r="A109" s="8">
        <v>40172</v>
      </c>
      <c r="B109" s="9" t="s">
        <v>17</v>
      </c>
      <c r="C109" s="9" t="s">
        <v>28</v>
      </c>
    </row>
    <row r="110" spans="1:3" ht="14.5" x14ac:dyDescent="0.35">
      <c r="A110" s="10">
        <v>40179</v>
      </c>
      <c r="B110" s="11" t="s">
        <v>17</v>
      </c>
      <c r="C110" s="11" t="s">
        <v>14</v>
      </c>
    </row>
    <row r="111" spans="1:3" ht="14.5" x14ac:dyDescent="0.35">
      <c r="A111" s="10">
        <v>40224</v>
      </c>
      <c r="B111" s="11" t="s">
        <v>13</v>
      </c>
      <c r="C111" s="11" t="s">
        <v>15</v>
      </c>
    </row>
    <row r="112" spans="1:3" ht="14.5" x14ac:dyDescent="0.35">
      <c r="A112" s="10">
        <v>40225</v>
      </c>
      <c r="B112" s="11" t="s">
        <v>16</v>
      </c>
      <c r="C112" s="11" t="s">
        <v>15</v>
      </c>
    </row>
    <row r="113" spans="1:3" ht="14.5" x14ac:dyDescent="0.35">
      <c r="A113" s="10">
        <v>40270</v>
      </c>
      <c r="B113" s="11" t="s">
        <v>17</v>
      </c>
      <c r="C113" s="11" t="s">
        <v>18</v>
      </c>
    </row>
    <row r="114" spans="1:3" ht="14.5" x14ac:dyDescent="0.35">
      <c r="A114" s="10">
        <v>40289</v>
      </c>
      <c r="B114" s="11" t="s">
        <v>30</v>
      </c>
      <c r="C114" s="11" t="s">
        <v>20</v>
      </c>
    </row>
    <row r="115" spans="1:3" ht="14.5" x14ac:dyDescent="0.35">
      <c r="A115" s="10">
        <v>40299</v>
      </c>
      <c r="B115" s="11" t="s">
        <v>19</v>
      </c>
      <c r="C115" s="11" t="s">
        <v>21</v>
      </c>
    </row>
    <row r="116" spans="1:3" ht="14.5" x14ac:dyDescent="0.35">
      <c r="A116" s="10">
        <v>40332</v>
      </c>
      <c r="B116" s="11" t="s">
        <v>22</v>
      </c>
      <c r="C116" s="11" t="s">
        <v>23</v>
      </c>
    </row>
    <row r="117" spans="1:3" ht="14.5" x14ac:dyDescent="0.35">
      <c r="A117" s="10">
        <v>40428</v>
      </c>
      <c r="B117" s="11" t="s">
        <v>16</v>
      </c>
      <c r="C117" s="11" t="s">
        <v>24</v>
      </c>
    </row>
    <row r="118" spans="1:3" ht="14.5" x14ac:dyDescent="0.35">
      <c r="A118" s="10">
        <v>40463</v>
      </c>
      <c r="B118" s="11" t="s">
        <v>16</v>
      </c>
      <c r="C118" s="11" t="s">
        <v>25</v>
      </c>
    </row>
    <row r="119" spans="1:3" ht="14.5" x14ac:dyDescent="0.35">
      <c r="A119" s="10">
        <v>40484</v>
      </c>
      <c r="B119" s="11" t="s">
        <v>16</v>
      </c>
      <c r="C119" s="11" t="s">
        <v>26</v>
      </c>
    </row>
    <row r="120" spans="1:3" ht="14.5" x14ac:dyDescent="0.35">
      <c r="A120" s="10">
        <v>40497</v>
      </c>
      <c r="B120" s="11" t="s">
        <v>13</v>
      </c>
      <c r="C120" s="11" t="s">
        <v>27</v>
      </c>
    </row>
    <row r="121" spans="1:3" ht="14.5" x14ac:dyDescent="0.35">
      <c r="A121" s="10">
        <v>40537</v>
      </c>
      <c r="B121" s="11" t="s">
        <v>19</v>
      </c>
      <c r="C121" s="11" t="s">
        <v>28</v>
      </c>
    </row>
    <row r="122" spans="1:3" ht="14.5" x14ac:dyDescent="0.35">
      <c r="A122" s="8">
        <v>40544</v>
      </c>
      <c r="B122" s="9" t="s">
        <v>19</v>
      </c>
      <c r="C122" s="9" t="s">
        <v>14</v>
      </c>
    </row>
    <row r="123" spans="1:3" ht="14.5" x14ac:dyDescent="0.35">
      <c r="A123" s="8">
        <v>40609</v>
      </c>
      <c r="B123" s="9" t="s">
        <v>13</v>
      </c>
      <c r="C123" s="9" t="s">
        <v>15</v>
      </c>
    </row>
    <row r="124" spans="1:3" ht="14.5" x14ac:dyDescent="0.35">
      <c r="A124" s="8">
        <v>40610</v>
      </c>
      <c r="B124" s="9" t="s">
        <v>16</v>
      </c>
      <c r="C124" s="9" t="s">
        <v>15</v>
      </c>
    </row>
    <row r="125" spans="1:3" ht="14.5" x14ac:dyDescent="0.35">
      <c r="A125" s="8">
        <v>40654</v>
      </c>
      <c r="B125" s="9" t="s">
        <v>22</v>
      </c>
      <c r="C125" s="9" t="s">
        <v>20</v>
      </c>
    </row>
    <row r="126" spans="1:3" ht="14.5" x14ac:dyDescent="0.35">
      <c r="A126" s="8">
        <v>40655</v>
      </c>
      <c r="B126" s="9" t="s">
        <v>17</v>
      </c>
      <c r="C126" s="9" t="s">
        <v>18</v>
      </c>
    </row>
    <row r="127" spans="1:3" ht="14.5" x14ac:dyDescent="0.35">
      <c r="A127" s="8">
        <v>40664</v>
      </c>
      <c r="B127" s="9" t="s">
        <v>29</v>
      </c>
      <c r="C127" s="9" t="s">
        <v>21</v>
      </c>
    </row>
    <row r="128" spans="1:3" ht="14.5" x14ac:dyDescent="0.35">
      <c r="A128" s="8">
        <v>40717</v>
      </c>
      <c r="B128" s="9" t="s">
        <v>22</v>
      </c>
      <c r="C128" s="9" t="s">
        <v>23</v>
      </c>
    </row>
    <row r="129" spans="1:3" ht="14.5" x14ac:dyDescent="0.35">
      <c r="A129" s="8">
        <v>40793</v>
      </c>
      <c r="B129" s="9" t="s">
        <v>30</v>
      </c>
      <c r="C129" s="9" t="s">
        <v>24</v>
      </c>
    </row>
    <row r="130" spans="1:3" ht="14.5" x14ac:dyDescent="0.35">
      <c r="A130" s="8">
        <v>40828</v>
      </c>
      <c r="B130" s="9" t="s">
        <v>30</v>
      </c>
      <c r="C130" s="9" t="s">
        <v>25</v>
      </c>
    </row>
    <row r="131" spans="1:3" ht="14.5" x14ac:dyDescent="0.35">
      <c r="A131" s="8">
        <v>40849</v>
      </c>
      <c r="B131" s="9" t="s">
        <v>30</v>
      </c>
      <c r="C131" s="9" t="s">
        <v>26</v>
      </c>
    </row>
    <row r="132" spans="1:3" ht="14.5" x14ac:dyDescent="0.35">
      <c r="A132" s="8">
        <v>40862</v>
      </c>
      <c r="B132" s="9" t="s">
        <v>16</v>
      </c>
      <c r="C132" s="9" t="s">
        <v>27</v>
      </c>
    </row>
    <row r="133" spans="1:3" ht="14.5" x14ac:dyDescent="0.35">
      <c r="A133" s="8">
        <v>40902</v>
      </c>
      <c r="B133" s="9" t="s">
        <v>29</v>
      </c>
      <c r="C133" s="9" t="s">
        <v>28</v>
      </c>
    </row>
    <row r="134" spans="1:3" ht="14.5" x14ac:dyDescent="0.35">
      <c r="A134" s="10">
        <v>40909</v>
      </c>
      <c r="B134" s="11" t="s">
        <v>29</v>
      </c>
      <c r="C134" s="11" t="s">
        <v>14</v>
      </c>
    </row>
    <row r="135" spans="1:3" ht="14.5" x14ac:dyDescent="0.35">
      <c r="A135" s="10">
        <v>40959</v>
      </c>
      <c r="B135" s="11" t="s">
        <v>13</v>
      </c>
      <c r="C135" s="11" t="s">
        <v>15</v>
      </c>
    </row>
    <row r="136" spans="1:3" ht="14.5" x14ac:dyDescent="0.35">
      <c r="A136" s="10">
        <v>40960</v>
      </c>
      <c r="B136" s="11" t="s">
        <v>16</v>
      </c>
      <c r="C136" s="11" t="s">
        <v>15</v>
      </c>
    </row>
    <row r="137" spans="1:3" ht="14.5" x14ac:dyDescent="0.35">
      <c r="A137" s="10">
        <v>41005</v>
      </c>
      <c r="B137" s="11" t="s">
        <v>17</v>
      </c>
      <c r="C137" s="11" t="s">
        <v>18</v>
      </c>
    </row>
    <row r="138" spans="1:3" ht="14.5" x14ac:dyDescent="0.35">
      <c r="A138" s="10">
        <v>41020</v>
      </c>
      <c r="B138" s="11" t="s">
        <v>19</v>
      </c>
      <c r="C138" s="11" t="s">
        <v>20</v>
      </c>
    </row>
    <row r="139" spans="1:3" ht="14.5" x14ac:dyDescent="0.35">
      <c r="A139" s="10">
        <v>41030</v>
      </c>
      <c r="B139" s="11" t="s">
        <v>16</v>
      </c>
      <c r="C139" s="11" t="s">
        <v>21</v>
      </c>
    </row>
    <row r="140" spans="1:3" ht="14.5" x14ac:dyDescent="0.35">
      <c r="A140" s="10">
        <v>41067</v>
      </c>
      <c r="B140" s="11" t="s">
        <v>22</v>
      </c>
      <c r="C140" s="11" t="s">
        <v>23</v>
      </c>
    </row>
    <row r="141" spans="1:3" ht="14.5" x14ac:dyDescent="0.35">
      <c r="A141" s="10">
        <v>41159</v>
      </c>
      <c r="B141" s="11" t="s">
        <v>17</v>
      </c>
      <c r="C141" s="11" t="s">
        <v>24</v>
      </c>
    </row>
    <row r="142" spans="1:3" ht="14.5" x14ac:dyDescent="0.35">
      <c r="A142" s="10">
        <v>41194</v>
      </c>
      <c r="B142" s="11" t="s">
        <v>17</v>
      </c>
      <c r="C142" s="11" t="s">
        <v>25</v>
      </c>
    </row>
    <row r="143" spans="1:3" ht="14.5" x14ac:dyDescent="0.35">
      <c r="A143" s="10">
        <v>41215</v>
      </c>
      <c r="B143" s="11" t="s">
        <v>17</v>
      </c>
      <c r="C143" s="11" t="s">
        <v>26</v>
      </c>
    </row>
    <row r="144" spans="1:3" ht="14.5" x14ac:dyDescent="0.35">
      <c r="A144" s="10">
        <v>41228</v>
      </c>
      <c r="B144" s="11" t="s">
        <v>22</v>
      </c>
      <c r="C144" s="11" t="s">
        <v>27</v>
      </c>
    </row>
    <row r="145" spans="1:3" ht="14.5" x14ac:dyDescent="0.35">
      <c r="A145" s="10">
        <v>41268</v>
      </c>
      <c r="B145" s="11" t="s">
        <v>16</v>
      </c>
      <c r="C145" s="11" t="s">
        <v>28</v>
      </c>
    </row>
    <row r="146" spans="1:3" ht="14.5" x14ac:dyDescent="0.35">
      <c r="A146" s="8">
        <v>41275</v>
      </c>
      <c r="B146" s="9" t="s">
        <v>16</v>
      </c>
      <c r="C146" s="9" t="s">
        <v>14</v>
      </c>
    </row>
    <row r="147" spans="1:3" ht="14.5" x14ac:dyDescent="0.35">
      <c r="A147" s="8">
        <v>41316</v>
      </c>
      <c r="B147" s="9" t="s">
        <v>13</v>
      </c>
      <c r="C147" s="9" t="s">
        <v>15</v>
      </c>
    </row>
    <row r="148" spans="1:3" ht="14.5" x14ac:dyDescent="0.35">
      <c r="A148" s="8">
        <v>41317</v>
      </c>
      <c r="B148" s="9" t="s">
        <v>16</v>
      </c>
      <c r="C148" s="9" t="s">
        <v>15</v>
      </c>
    </row>
    <row r="149" spans="1:3" ht="14.5" x14ac:dyDescent="0.35">
      <c r="A149" s="8">
        <v>41362</v>
      </c>
      <c r="B149" s="9" t="s">
        <v>17</v>
      </c>
      <c r="C149" s="9" t="s">
        <v>18</v>
      </c>
    </row>
    <row r="150" spans="1:3" ht="14.5" x14ac:dyDescent="0.35">
      <c r="A150" s="8">
        <v>41385</v>
      </c>
      <c r="B150" s="9" t="s">
        <v>29</v>
      </c>
      <c r="C150" s="9" t="s">
        <v>20</v>
      </c>
    </row>
    <row r="151" spans="1:3" ht="14.5" x14ac:dyDescent="0.35">
      <c r="A151" s="8">
        <v>41395</v>
      </c>
      <c r="B151" s="9" t="s">
        <v>30</v>
      </c>
      <c r="C151" s="9" t="s">
        <v>21</v>
      </c>
    </row>
    <row r="152" spans="1:3" ht="14.5" x14ac:dyDescent="0.35">
      <c r="A152" s="8">
        <v>41424</v>
      </c>
      <c r="B152" s="9" t="s">
        <v>22</v>
      </c>
      <c r="C152" s="9" t="s">
        <v>23</v>
      </c>
    </row>
    <row r="153" spans="1:3" ht="14.5" x14ac:dyDescent="0.35">
      <c r="A153" s="8">
        <v>41524</v>
      </c>
      <c r="B153" s="9" t="s">
        <v>19</v>
      </c>
      <c r="C153" s="9" t="s">
        <v>24</v>
      </c>
    </row>
    <row r="154" spans="1:3" ht="14.5" x14ac:dyDescent="0.35">
      <c r="A154" s="8">
        <v>41559</v>
      </c>
      <c r="B154" s="9" t="s">
        <v>19</v>
      </c>
      <c r="C154" s="9" t="s">
        <v>25</v>
      </c>
    </row>
    <row r="155" spans="1:3" ht="14.5" x14ac:dyDescent="0.35">
      <c r="A155" s="8">
        <v>41580</v>
      </c>
      <c r="B155" s="9" t="s">
        <v>19</v>
      </c>
      <c r="C155" s="9" t="s">
        <v>26</v>
      </c>
    </row>
    <row r="156" spans="1:3" ht="14.5" x14ac:dyDescent="0.35">
      <c r="A156" s="8">
        <v>41593</v>
      </c>
      <c r="B156" s="9" t="s">
        <v>17</v>
      </c>
      <c r="C156" s="9" t="s">
        <v>27</v>
      </c>
    </row>
    <row r="157" spans="1:3" ht="14.5" x14ac:dyDescent="0.35">
      <c r="A157" s="8">
        <v>41633</v>
      </c>
      <c r="B157" s="9" t="s">
        <v>30</v>
      </c>
      <c r="C157" s="9" t="s">
        <v>28</v>
      </c>
    </row>
    <row r="158" spans="1:3" ht="14.5" x14ac:dyDescent="0.35">
      <c r="A158" s="10">
        <v>41640</v>
      </c>
      <c r="B158" s="11" t="s">
        <v>30</v>
      </c>
      <c r="C158" s="11" t="s">
        <v>14</v>
      </c>
    </row>
    <row r="159" spans="1:3" ht="14.5" x14ac:dyDescent="0.35">
      <c r="A159" s="10">
        <v>41701</v>
      </c>
      <c r="B159" s="11" t="s">
        <v>13</v>
      </c>
      <c r="C159" s="11" t="s">
        <v>15</v>
      </c>
    </row>
    <row r="160" spans="1:3" ht="14.5" x14ac:dyDescent="0.35">
      <c r="A160" s="10">
        <v>41702</v>
      </c>
      <c r="B160" s="11" t="s">
        <v>16</v>
      </c>
      <c r="C160" s="11" t="s">
        <v>15</v>
      </c>
    </row>
    <row r="161" spans="1:3" ht="14.5" x14ac:dyDescent="0.35">
      <c r="A161" s="10">
        <v>41747</v>
      </c>
      <c r="B161" s="11" t="s">
        <v>17</v>
      </c>
      <c r="C161" s="11" t="s">
        <v>18</v>
      </c>
    </row>
    <row r="162" spans="1:3" ht="14.5" x14ac:dyDescent="0.35">
      <c r="A162" s="10">
        <v>41750</v>
      </c>
      <c r="B162" s="11" t="s">
        <v>13</v>
      </c>
      <c r="C162" s="11" t="s">
        <v>20</v>
      </c>
    </row>
    <row r="163" spans="1:3" ht="14.5" x14ac:dyDescent="0.35">
      <c r="A163" s="10">
        <v>41760</v>
      </c>
      <c r="B163" s="11" t="s">
        <v>22</v>
      </c>
      <c r="C163" s="11" t="s">
        <v>21</v>
      </c>
    </row>
    <row r="164" spans="1:3" ht="14.5" x14ac:dyDescent="0.35">
      <c r="A164" s="10">
        <v>41809</v>
      </c>
      <c r="B164" s="11" t="s">
        <v>22</v>
      </c>
      <c r="C164" s="11" t="s">
        <v>23</v>
      </c>
    </row>
    <row r="165" spans="1:3" ht="14.5" x14ac:dyDescent="0.35">
      <c r="A165" s="10">
        <v>41889</v>
      </c>
      <c r="B165" s="11" t="s">
        <v>29</v>
      </c>
      <c r="C165" s="11" t="s">
        <v>24</v>
      </c>
    </row>
    <row r="166" spans="1:3" ht="14.5" x14ac:dyDescent="0.35">
      <c r="A166" s="10">
        <v>41924</v>
      </c>
      <c r="B166" s="11" t="s">
        <v>29</v>
      </c>
      <c r="C166" s="11" t="s">
        <v>25</v>
      </c>
    </row>
    <row r="167" spans="1:3" ht="14.5" x14ac:dyDescent="0.35">
      <c r="A167" s="10">
        <v>41945</v>
      </c>
      <c r="B167" s="11" t="s">
        <v>29</v>
      </c>
      <c r="C167" s="11" t="s">
        <v>26</v>
      </c>
    </row>
    <row r="168" spans="1:3" ht="14.5" x14ac:dyDescent="0.35">
      <c r="A168" s="10">
        <v>41958</v>
      </c>
      <c r="B168" s="11" t="s">
        <v>19</v>
      </c>
      <c r="C168" s="11" t="s">
        <v>27</v>
      </c>
    </row>
    <row r="169" spans="1:3" ht="14.5" x14ac:dyDescent="0.35">
      <c r="A169" s="10">
        <v>41998</v>
      </c>
      <c r="B169" s="11" t="s">
        <v>22</v>
      </c>
      <c r="C169" s="11" t="s">
        <v>28</v>
      </c>
    </row>
    <row r="170" spans="1:3" ht="14.5" x14ac:dyDescent="0.35">
      <c r="A170" s="8">
        <v>42005</v>
      </c>
      <c r="B170" s="9" t="s">
        <v>22</v>
      </c>
      <c r="C170" s="9" t="s">
        <v>14</v>
      </c>
    </row>
    <row r="171" spans="1:3" ht="14.5" x14ac:dyDescent="0.35">
      <c r="A171" s="8">
        <v>42051</v>
      </c>
      <c r="B171" s="9" t="s">
        <v>13</v>
      </c>
      <c r="C171" s="9" t="s">
        <v>15</v>
      </c>
    </row>
    <row r="172" spans="1:3" ht="14.5" x14ac:dyDescent="0.35">
      <c r="A172" s="8">
        <v>42052</v>
      </c>
      <c r="B172" s="9" t="s">
        <v>16</v>
      </c>
      <c r="C172" s="9" t="s">
        <v>15</v>
      </c>
    </row>
    <row r="173" spans="1:3" ht="14.5" x14ac:dyDescent="0.35">
      <c r="A173" s="8">
        <v>42097</v>
      </c>
      <c r="B173" s="9" t="s">
        <v>17</v>
      </c>
      <c r="C173" s="9" t="s">
        <v>18</v>
      </c>
    </row>
    <row r="174" spans="1:3" ht="14.5" x14ac:dyDescent="0.35">
      <c r="A174" s="8">
        <v>42115</v>
      </c>
      <c r="B174" s="9" t="s">
        <v>16</v>
      </c>
      <c r="C174" s="9" t="s">
        <v>20</v>
      </c>
    </row>
    <row r="175" spans="1:3" ht="14.5" x14ac:dyDescent="0.35">
      <c r="A175" s="8">
        <v>42125</v>
      </c>
      <c r="B175" s="9" t="s">
        <v>17</v>
      </c>
      <c r="C175" s="9" t="s">
        <v>21</v>
      </c>
    </row>
    <row r="176" spans="1:3" ht="14.5" x14ac:dyDescent="0.35">
      <c r="A176" s="8">
        <v>42159</v>
      </c>
      <c r="B176" s="9" t="s">
        <v>22</v>
      </c>
      <c r="C176" s="9" t="s">
        <v>23</v>
      </c>
    </row>
    <row r="177" spans="1:3" ht="14.5" x14ac:dyDescent="0.35">
      <c r="A177" s="8">
        <v>42254</v>
      </c>
      <c r="B177" s="9" t="s">
        <v>13</v>
      </c>
      <c r="C177" s="9" t="s">
        <v>24</v>
      </c>
    </row>
    <row r="178" spans="1:3" ht="14.5" x14ac:dyDescent="0.35">
      <c r="A178" s="8">
        <v>42289</v>
      </c>
      <c r="B178" s="9" t="s">
        <v>13</v>
      </c>
      <c r="C178" s="9" t="s">
        <v>25</v>
      </c>
    </row>
    <row r="179" spans="1:3" ht="14.5" x14ac:dyDescent="0.35">
      <c r="A179" s="8">
        <v>42310</v>
      </c>
      <c r="B179" s="9" t="s">
        <v>13</v>
      </c>
      <c r="C179" s="9" t="s">
        <v>26</v>
      </c>
    </row>
    <row r="180" spans="1:3" ht="14.5" x14ac:dyDescent="0.35">
      <c r="A180" s="8">
        <v>42323</v>
      </c>
      <c r="B180" s="9" t="s">
        <v>29</v>
      </c>
      <c r="C180" s="9" t="s">
        <v>27</v>
      </c>
    </row>
    <row r="181" spans="1:3" ht="14.5" x14ac:dyDescent="0.35">
      <c r="A181" s="8">
        <v>42363</v>
      </c>
      <c r="B181" s="9" t="s">
        <v>17</v>
      </c>
      <c r="C181" s="9" t="s">
        <v>28</v>
      </c>
    </row>
    <row r="182" spans="1:3" ht="14.5" x14ac:dyDescent="0.35">
      <c r="A182" s="10">
        <v>42370</v>
      </c>
      <c r="B182" s="11" t="s">
        <v>17</v>
      </c>
      <c r="C182" s="11" t="s">
        <v>14</v>
      </c>
    </row>
    <row r="183" spans="1:3" ht="14.5" x14ac:dyDescent="0.35">
      <c r="A183" s="10">
        <v>42408</v>
      </c>
      <c r="B183" s="11" t="s">
        <v>13</v>
      </c>
      <c r="C183" s="11" t="s">
        <v>15</v>
      </c>
    </row>
    <row r="184" spans="1:3" ht="14.5" x14ac:dyDescent="0.35">
      <c r="A184" s="10">
        <v>42409</v>
      </c>
      <c r="B184" s="11" t="s">
        <v>16</v>
      </c>
      <c r="C184" s="11" t="s">
        <v>15</v>
      </c>
    </row>
    <row r="185" spans="1:3" ht="14.5" x14ac:dyDescent="0.35">
      <c r="A185" s="10">
        <v>42454</v>
      </c>
      <c r="B185" s="11" t="s">
        <v>17</v>
      </c>
      <c r="C185" s="11" t="s">
        <v>18</v>
      </c>
    </row>
    <row r="186" spans="1:3" ht="14.5" x14ac:dyDescent="0.35">
      <c r="A186" s="10">
        <v>42481</v>
      </c>
      <c r="B186" s="11" t="s">
        <v>22</v>
      </c>
      <c r="C186" s="11" t="s">
        <v>20</v>
      </c>
    </row>
    <row r="187" spans="1:3" ht="14.5" x14ac:dyDescent="0.35">
      <c r="A187" s="10">
        <v>42491</v>
      </c>
      <c r="B187" s="11" t="s">
        <v>29</v>
      </c>
      <c r="C187" s="11" t="s">
        <v>21</v>
      </c>
    </row>
    <row r="188" spans="1:3" ht="14.5" x14ac:dyDescent="0.35">
      <c r="A188" s="10">
        <v>42516</v>
      </c>
      <c r="B188" s="11" t="s">
        <v>22</v>
      </c>
      <c r="C188" s="11" t="s">
        <v>23</v>
      </c>
    </row>
    <row r="189" spans="1:3" ht="14.5" x14ac:dyDescent="0.35">
      <c r="A189" s="10">
        <v>42620</v>
      </c>
      <c r="B189" s="11" t="s">
        <v>30</v>
      </c>
      <c r="C189" s="11" t="s">
        <v>24</v>
      </c>
    </row>
    <row r="190" spans="1:3" ht="14.5" x14ac:dyDescent="0.35">
      <c r="A190" s="10">
        <v>42655</v>
      </c>
      <c r="B190" s="11" t="s">
        <v>30</v>
      </c>
      <c r="C190" s="11" t="s">
        <v>25</v>
      </c>
    </row>
    <row r="191" spans="1:3" ht="14.5" x14ac:dyDescent="0.35">
      <c r="A191" s="10">
        <v>42676</v>
      </c>
      <c r="B191" s="11" t="s">
        <v>30</v>
      </c>
      <c r="C191" s="11" t="s">
        <v>26</v>
      </c>
    </row>
    <row r="192" spans="1:3" ht="14.5" x14ac:dyDescent="0.35">
      <c r="A192" s="10">
        <v>42689</v>
      </c>
      <c r="B192" s="11" t="s">
        <v>16</v>
      </c>
      <c r="C192" s="11" t="s">
        <v>27</v>
      </c>
    </row>
    <row r="193" spans="1:3" ht="14.5" x14ac:dyDescent="0.35">
      <c r="A193" s="10">
        <v>42729</v>
      </c>
      <c r="B193" s="11" t="s">
        <v>29</v>
      </c>
      <c r="C193" s="11" t="s">
        <v>28</v>
      </c>
    </row>
    <row r="194" spans="1:3" ht="14.5" x14ac:dyDescent="0.35">
      <c r="A194" s="8">
        <v>42736</v>
      </c>
      <c r="B194" s="9" t="s">
        <v>29</v>
      </c>
      <c r="C194" s="9" t="s">
        <v>14</v>
      </c>
    </row>
    <row r="195" spans="1:3" ht="14.5" x14ac:dyDescent="0.35">
      <c r="A195" s="8">
        <v>42793</v>
      </c>
      <c r="B195" s="9" t="s">
        <v>13</v>
      </c>
      <c r="C195" s="9" t="s">
        <v>15</v>
      </c>
    </row>
    <row r="196" spans="1:3" ht="14.5" x14ac:dyDescent="0.35">
      <c r="A196" s="8">
        <v>42794</v>
      </c>
      <c r="B196" s="9" t="s">
        <v>16</v>
      </c>
      <c r="C196" s="9" t="s">
        <v>15</v>
      </c>
    </row>
    <row r="197" spans="1:3" ht="14.5" x14ac:dyDescent="0.35">
      <c r="A197" s="8">
        <v>42839</v>
      </c>
      <c r="B197" s="9" t="s">
        <v>17</v>
      </c>
      <c r="C197" s="9" t="s">
        <v>18</v>
      </c>
    </row>
    <row r="198" spans="1:3" ht="14.5" x14ac:dyDescent="0.35">
      <c r="A198" s="8">
        <v>42846</v>
      </c>
      <c r="B198" s="9" t="s">
        <v>17</v>
      </c>
      <c r="C198" s="9" t="s">
        <v>20</v>
      </c>
    </row>
    <row r="199" spans="1:3" ht="14.5" x14ac:dyDescent="0.35">
      <c r="A199" s="8">
        <v>42856</v>
      </c>
      <c r="B199" s="9" t="s">
        <v>13</v>
      </c>
      <c r="C199" s="9" t="s">
        <v>21</v>
      </c>
    </row>
    <row r="200" spans="1:3" ht="14.5" x14ac:dyDescent="0.35">
      <c r="A200" s="8">
        <v>42901</v>
      </c>
      <c r="B200" s="9" t="s">
        <v>22</v>
      </c>
      <c r="C200" s="9" t="s">
        <v>23</v>
      </c>
    </row>
    <row r="201" spans="1:3" ht="14.5" x14ac:dyDescent="0.35">
      <c r="A201" s="8">
        <v>42985</v>
      </c>
      <c r="B201" s="9" t="s">
        <v>22</v>
      </c>
      <c r="C201" s="9" t="s">
        <v>24</v>
      </c>
    </row>
    <row r="202" spans="1:3" ht="14.5" x14ac:dyDescent="0.35">
      <c r="A202" s="8">
        <v>43020</v>
      </c>
      <c r="B202" s="9" t="s">
        <v>22</v>
      </c>
      <c r="C202" s="9" t="s">
        <v>25</v>
      </c>
    </row>
    <row r="203" spans="1:3" ht="14.5" x14ac:dyDescent="0.35">
      <c r="A203" s="8">
        <v>43041</v>
      </c>
      <c r="B203" s="9" t="s">
        <v>22</v>
      </c>
      <c r="C203" s="9" t="s">
        <v>26</v>
      </c>
    </row>
    <row r="204" spans="1:3" ht="14.5" x14ac:dyDescent="0.35">
      <c r="A204" s="8">
        <v>43054</v>
      </c>
      <c r="B204" s="9" t="s">
        <v>30</v>
      </c>
      <c r="C204" s="9" t="s">
        <v>27</v>
      </c>
    </row>
    <row r="205" spans="1:3" ht="14.5" x14ac:dyDescent="0.35">
      <c r="A205" s="8">
        <v>43094</v>
      </c>
      <c r="B205" s="9" t="s">
        <v>13</v>
      </c>
      <c r="C205" s="9" t="s">
        <v>28</v>
      </c>
    </row>
    <row r="206" spans="1:3" ht="14.5" x14ac:dyDescent="0.35">
      <c r="A206" s="10">
        <v>43101</v>
      </c>
      <c r="B206" s="11" t="s">
        <v>13</v>
      </c>
      <c r="C206" s="11" t="s">
        <v>14</v>
      </c>
    </row>
    <row r="207" spans="1:3" ht="14.5" x14ac:dyDescent="0.35">
      <c r="A207" s="10">
        <v>43143</v>
      </c>
      <c r="B207" s="11" t="s">
        <v>13</v>
      </c>
      <c r="C207" s="11" t="s">
        <v>15</v>
      </c>
    </row>
    <row r="208" spans="1:3" ht="14.5" x14ac:dyDescent="0.35">
      <c r="A208" s="10">
        <v>43144</v>
      </c>
      <c r="B208" s="11" t="s">
        <v>16</v>
      </c>
      <c r="C208" s="11" t="s">
        <v>15</v>
      </c>
    </row>
    <row r="209" spans="1:3" ht="14.5" x14ac:dyDescent="0.35">
      <c r="A209" s="10">
        <v>43189</v>
      </c>
      <c r="B209" s="11" t="s">
        <v>17</v>
      </c>
      <c r="C209" s="11" t="s">
        <v>18</v>
      </c>
    </row>
    <row r="210" spans="1:3" ht="14.5" x14ac:dyDescent="0.35">
      <c r="A210" s="10">
        <v>43211</v>
      </c>
      <c r="B210" s="11" t="s">
        <v>19</v>
      </c>
      <c r="C210" s="11" t="s">
        <v>20</v>
      </c>
    </row>
    <row r="211" spans="1:3" ht="14.5" x14ac:dyDescent="0.35">
      <c r="A211" s="10">
        <v>43221</v>
      </c>
      <c r="B211" s="11" t="s">
        <v>16</v>
      </c>
      <c r="C211" s="11" t="s">
        <v>21</v>
      </c>
    </row>
    <row r="212" spans="1:3" ht="14.5" x14ac:dyDescent="0.35">
      <c r="A212" s="10">
        <v>43251</v>
      </c>
      <c r="B212" s="11" t="s">
        <v>22</v>
      </c>
      <c r="C212" s="11" t="s">
        <v>23</v>
      </c>
    </row>
    <row r="213" spans="1:3" ht="14.5" x14ac:dyDescent="0.35">
      <c r="A213" s="10">
        <v>43350</v>
      </c>
      <c r="B213" s="11" t="s">
        <v>17</v>
      </c>
      <c r="C213" s="11" t="s">
        <v>24</v>
      </c>
    </row>
    <row r="214" spans="1:3" ht="14.5" x14ac:dyDescent="0.35">
      <c r="A214" s="10">
        <v>43385</v>
      </c>
      <c r="B214" s="11" t="s">
        <v>17</v>
      </c>
      <c r="C214" s="11" t="s">
        <v>25</v>
      </c>
    </row>
    <row r="215" spans="1:3" ht="14.5" x14ac:dyDescent="0.35">
      <c r="A215" s="10">
        <v>43406</v>
      </c>
      <c r="B215" s="11" t="s">
        <v>17</v>
      </c>
      <c r="C215" s="11" t="s">
        <v>26</v>
      </c>
    </row>
    <row r="216" spans="1:3" ht="14.5" x14ac:dyDescent="0.35">
      <c r="A216" s="10">
        <v>43419</v>
      </c>
      <c r="B216" s="11" t="s">
        <v>22</v>
      </c>
      <c r="C216" s="11" t="s">
        <v>27</v>
      </c>
    </row>
    <row r="217" spans="1:3" ht="14.5" x14ac:dyDescent="0.35">
      <c r="A217" s="10">
        <v>43459</v>
      </c>
      <c r="B217" s="11" t="s">
        <v>16</v>
      </c>
      <c r="C217" s="11" t="s">
        <v>28</v>
      </c>
    </row>
    <row r="218" spans="1:3" ht="14.5" x14ac:dyDescent="0.35">
      <c r="A218" s="8">
        <v>43466</v>
      </c>
      <c r="B218" s="9" t="s">
        <v>16</v>
      </c>
      <c r="C218" s="9" t="s">
        <v>14</v>
      </c>
    </row>
    <row r="219" spans="1:3" ht="14.5" x14ac:dyDescent="0.35">
      <c r="A219" s="8">
        <v>43528</v>
      </c>
      <c r="B219" s="9" t="s">
        <v>13</v>
      </c>
      <c r="C219" s="9" t="s">
        <v>15</v>
      </c>
    </row>
    <row r="220" spans="1:3" ht="14.5" x14ac:dyDescent="0.35">
      <c r="A220" s="8">
        <v>43529</v>
      </c>
      <c r="B220" s="9" t="s">
        <v>16</v>
      </c>
      <c r="C220" s="9" t="s">
        <v>15</v>
      </c>
    </row>
    <row r="221" spans="1:3" ht="14.5" x14ac:dyDescent="0.35">
      <c r="A221" s="8">
        <v>43574</v>
      </c>
      <c r="B221" s="9" t="s">
        <v>17</v>
      </c>
      <c r="C221" s="9" t="s">
        <v>18</v>
      </c>
    </row>
    <row r="222" spans="1:3" ht="14.5" x14ac:dyDescent="0.35">
      <c r="A222" s="8">
        <v>43576</v>
      </c>
      <c r="B222" s="9" t="s">
        <v>29</v>
      </c>
      <c r="C222" s="9" t="s">
        <v>20</v>
      </c>
    </row>
    <row r="223" spans="1:3" ht="14.5" x14ac:dyDescent="0.35">
      <c r="A223" s="8">
        <v>43586</v>
      </c>
      <c r="B223" s="9" t="s">
        <v>30</v>
      </c>
      <c r="C223" s="9" t="s">
        <v>21</v>
      </c>
    </row>
    <row r="224" spans="1:3" ht="14.5" x14ac:dyDescent="0.35">
      <c r="A224" s="8">
        <v>43636</v>
      </c>
      <c r="B224" s="9" t="s">
        <v>22</v>
      </c>
      <c r="C224" s="9" t="s">
        <v>23</v>
      </c>
    </row>
    <row r="225" spans="1:3" ht="14.5" x14ac:dyDescent="0.35">
      <c r="A225" s="8">
        <v>43715</v>
      </c>
      <c r="B225" s="9" t="s">
        <v>19</v>
      </c>
      <c r="C225" s="9" t="s">
        <v>24</v>
      </c>
    </row>
    <row r="226" spans="1:3" ht="14.5" x14ac:dyDescent="0.35">
      <c r="A226" s="8">
        <v>43750</v>
      </c>
      <c r="B226" s="9" t="s">
        <v>19</v>
      </c>
      <c r="C226" s="9" t="s">
        <v>25</v>
      </c>
    </row>
    <row r="227" spans="1:3" ht="14.5" x14ac:dyDescent="0.35">
      <c r="A227" s="8">
        <v>43771</v>
      </c>
      <c r="B227" s="9" t="s">
        <v>19</v>
      </c>
      <c r="C227" s="9" t="s">
        <v>26</v>
      </c>
    </row>
    <row r="228" spans="1:3" ht="14.5" x14ac:dyDescent="0.35">
      <c r="A228" s="8">
        <v>43784</v>
      </c>
      <c r="B228" s="9" t="s">
        <v>17</v>
      </c>
      <c r="C228" s="9" t="s">
        <v>27</v>
      </c>
    </row>
    <row r="229" spans="1:3" ht="14.5" x14ac:dyDescent="0.35">
      <c r="A229" s="8">
        <v>43824</v>
      </c>
      <c r="B229" s="9" t="s">
        <v>30</v>
      </c>
      <c r="C229" s="9" t="s">
        <v>28</v>
      </c>
    </row>
    <row r="230" spans="1:3" ht="14.5" x14ac:dyDescent="0.35">
      <c r="A230" s="10">
        <v>43831</v>
      </c>
      <c r="B230" s="11" t="s">
        <v>30</v>
      </c>
      <c r="C230" s="11" t="s">
        <v>14</v>
      </c>
    </row>
    <row r="231" spans="1:3" ht="14.5" x14ac:dyDescent="0.35">
      <c r="A231" s="10">
        <v>43885</v>
      </c>
      <c r="B231" s="11" t="s">
        <v>13</v>
      </c>
      <c r="C231" s="11" t="s">
        <v>15</v>
      </c>
    </row>
    <row r="232" spans="1:3" ht="14.5" x14ac:dyDescent="0.35">
      <c r="A232" s="10">
        <v>43886</v>
      </c>
      <c r="B232" s="11" t="s">
        <v>16</v>
      </c>
      <c r="C232" s="11" t="s">
        <v>15</v>
      </c>
    </row>
    <row r="233" spans="1:3" ht="14.5" x14ac:dyDescent="0.35">
      <c r="A233" s="10">
        <v>43931</v>
      </c>
      <c r="B233" s="11" t="s">
        <v>17</v>
      </c>
      <c r="C233" s="11" t="s">
        <v>18</v>
      </c>
    </row>
    <row r="234" spans="1:3" ht="14.5" x14ac:dyDescent="0.35">
      <c r="A234" s="10">
        <v>43942</v>
      </c>
      <c r="B234" s="11" t="s">
        <v>16</v>
      </c>
      <c r="C234" s="11" t="s">
        <v>20</v>
      </c>
    </row>
    <row r="235" spans="1:3" ht="14.5" x14ac:dyDescent="0.35">
      <c r="A235" s="10">
        <v>43952</v>
      </c>
      <c r="B235" s="11" t="s">
        <v>17</v>
      </c>
      <c r="C235" s="11" t="s">
        <v>21</v>
      </c>
    </row>
    <row r="236" spans="1:3" ht="14.5" x14ac:dyDescent="0.35">
      <c r="A236" s="10">
        <v>43993</v>
      </c>
      <c r="B236" s="11" t="s">
        <v>22</v>
      </c>
      <c r="C236" s="11" t="s">
        <v>23</v>
      </c>
    </row>
    <row r="237" spans="1:3" ht="14.5" x14ac:dyDescent="0.35">
      <c r="A237" s="10">
        <v>44081</v>
      </c>
      <c r="B237" s="11" t="s">
        <v>13</v>
      </c>
      <c r="C237" s="11" t="s">
        <v>24</v>
      </c>
    </row>
    <row r="238" spans="1:3" ht="14.5" x14ac:dyDescent="0.35">
      <c r="A238" s="10">
        <v>44116</v>
      </c>
      <c r="B238" s="11" t="s">
        <v>13</v>
      </c>
      <c r="C238" s="11" t="s">
        <v>25</v>
      </c>
    </row>
    <row r="239" spans="1:3" ht="14.5" x14ac:dyDescent="0.35">
      <c r="A239" s="10">
        <v>44137</v>
      </c>
      <c r="B239" s="11" t="s">
        <v>13</v>
      </c>
      <c r="C239" s="11" t="s">
        <v>26</v>
      </c>
    </row>
    <row r="240" spans="1:3" ht="14.5" x14ac:dyDescent="0.35">
      <c r="A240" s="10">
        <v>44150</v>
      </c>
      <c r="B240" s="11" t="s">
        <v>29</v>
      </c>
      <c r="C240" s="11" t="s">
        <v>27</v>
      </c>
    </row>
    <row r="241" spans="1:3" ht="14.5" x14ac:dyDescent="0.35">
      <c r="A241" s="10">
        <v>44190</v>
      </c>
      <c r="B241" s="11" t="s">
        <v>17</v>
      </c>
      <c r="C241" s="11" t="s">
        <v>28</v>
      </c>
    </row>
    <row r="242" spans="1:3" ht="14.5" x14ac:dyDescent="0.35">
      <c r="A242" s="8">
        <v>44197</v>
      </c>
      <c r="B242" s="9" t="s">
        <v>17</v>
      </c>
      <c r="C242" s="9" t="s">
        <v>14</v>
      </c>
    </row>
    <row r="243" spans="1:3" ht="14.5" x14ac:dyDescent="0.35">
      <c r="A243" s="8">
        <v>44242</v>
      </c>
      <c r="B243" s="9" t="s">
        <v>13</v>
      </c>
      <c r="C243" s="9" t="s">
        <v>15</v>
      </c>
    </row>
    <row r="244" spans="1:3" ht="14.5" x14ac:dyDescent="0.35">
      <c r="A244" s="8">
        <v>44243</v>
      </c>
      <c r="B244" s="9" t="s">
        <v>16</v>
      </c>
      <c r="C244" s="9" t="s">
        <v>15</v>
      </c>
    </row>
    <row r="245" spans="1:3" ht="14.5" x14ac:dyDescent="0.35">
      <c r="A245" s="8">
        <v>44288</v>
      </c>
      <c r="B245" s="9" t="s">
        <v>17</v>
      </c>
      <c r="C245" s="9" t="s">
        <v>18</v>
      </c>
    </row>
    <row r="246" spans="1:3" ht="14.5" x14ac:dyDescent="0.35">
      <c r="A246" s="8">
        <v>44307</v>
      </c>
      <c r="B246" s="9" t="s">
        <v>30</v>
      </c>
      <c r="C246" s="9" t="s">
        <v>20</v>
      </c>
    </row>
    <row r="247" spans="1:3" ht="14.5" x14ac:dyDescent="0.35">
      <c r="A247" s="8">
        <v>44317</v>
      </c>
      <c r="B247" s="9" t="s">
        <v>19</v>
      </c>
      <c r="C247" s="9" t="s">
        <v>21</v>
      </c>
    </row>
    <row r="248" spans="1:3" ht="14.5" x14ac:dyDescent="0.35">
      <c r="A248" s="8">
        <v>44350</v>
      </c>
      <c r="B248" s="9" t="s">
        <v>22</v>
      </c>
      <c r="C248" s="9" t="s">
        <v>23</v>
      </c>
    </row>
    <row r="249" spans="1:3" ht="14.5" x14ac:dyDescent="0.35">
      <c r="A249" s="8">
        <v>44446</v>
      </c>
      <c r="B249" s="9" t="s">
        <v>16</v>
      </c>
      <c r="C249" s="9" t="s">
        <v>24</v>
      </c>
    </row>
    <row r="250" spans="1:3" ht="14.5" x14ac:dyDescent="0.35">
      <c r="A250" s="8">
        <v>44481</v>
      </c>
      <c r="B250" s="9" t="s">
        <v>16</v>
      </c>
      <c r="C250" s="9" t="s">
        <v>25</v>
      </c>
    </row>
    <row r="251" spans="1:3" ht="14.5" x14ac:dyDescent="0.35">
      <c r="A251" s="8">
        <v>44502</v>
      </c>
      <c r="B251" s="9" t="s">
        <v>16</v>
      </c>
      <c r="C251" s="9" t="s">
        <v>26</v>
      </c>
    </row>
    <row r="252" spans="1:3" ht="14.5" x14ac:dyDescent="0.35">
      <c r="A252" s="8">
        <v>44515</v>
      </c>
      <c r="B252" s="9" t="s">
        <v>13</v>
      </c>
      <c r="C252" s="9" t="s">
        <v>27</v>
      </c>
    </row>
    <row r="253" spans="1:3" ht="14.5" x14ac:dyDescent="0.35">
      <c r="A253" s="8">
        <v>44555</v>
      </c>
      <c r="B253" s="9" t="s">
        <v>19</v>
      </c>
      <c r="C253" s="9" t="s">
        <v>28</v>
      </c>
    </row>
    <row r="254" spans="1:3" ht="14.5" x14ac:dyDescent="0.35">
      <c r="A254" s="10">
        <v>44562</v>
      </c>
      <c r="B254" s="11" t="s">
        <v>19</v>
      </c>
      <c r="C254" s="11" t="s">
        <v>14</v>
      </c>
    </row>
    <row r="255" spans="1:3" ht="14.5" x14ac:dyDescent="0.35">
      <c r="A255" s="10">
        <v>44620</v>
      </c>
      <c r="B255" s="11" t="s">
        <v>13</v>
      </c>
      <c r="C255" s="11" t="s">
        <v>15</v>
      </c>
    </row>
    <row r="256" spans="1:3" ht="14.5" x14ac:dyDescent="0.35">
      <c r="A256" s="10">
        <v>44621</v>
      </c>
      <c r="B256" s="11" t="s">
        <v>16</v>
      </c>
      <c r="C256" s="11" t="s">
        <v>15</v>
      </c>
    </row>
    <row r="257" spans="1:3" ht="14.5" x14ac:dyDescent="0.35">
      <c r="A257" s="10">
        <v>44666</v>
      </c>
      <c r="B257" s="11" t="s">
        <v>17</v>
      </c>
      <c r="C257" s="11" t="s">
        <v>18</v>
      </c>
    </row>
    <row r="258" spans="1:3" ht="14.5" x14ac:dyDescent="0.35">
      <c r="A258" s="10">
        <v>44672</v>
      </c>
      <c r="B258" s="11" t="s">
        <v>22</v>
      </c>
      <c r="C258" s="11" t="s">
        <v>20</v>
      </c>
    </row>
    <row r="259" spans="1:3" ht="14.5" x14ac:dyDescent="0.35">
      <c r="A259" s="10">
        <v>44682</v>
      </c>
      <c r="B259" s="11" t="s">
        <v>29</v>
      </c>
      <c r="C259" s="11" t="s">
        <v>21</v>
      </c>
    </row>
    <row r="260" spans="1:3" ht="14.5" x14ac:dyDescent="0.35">
      <c r="A260" s="10">
        <v>44728</v>
      </c>
      <c r="B260" s="11" t="s">
        <v>22</v>
      </c>
      <c r="C260" s="11" t="s">
        <v>23</v>
      </c>
    </row>
    <row r="261" spans="1:3" ht="14.5" x14ac:dyDescent="0.35">
      <c r="A261" s="10">
        <v>44811</v>
      </c>
      <c r="B261" s="11" t="s">
        <v>30</v>
      </c>
      <c r="C261" s="11" t="s">
        <v>24</v>
      </c>
    </row>
    <row r="262" spans="1:3" ht="14.5" x14ac:dyDescent="0.35">
      <c r="A262" s="10">
        <v>44846</v>
      </c>
      <c r="B262" s="11" t="s">
        <v>30</v>
      </c>
      <c r="C262" s="11" t="s">
        <v>25</v>
      </c>
    </row>
    <row r="263" spans="1:3" ht="14.5" x14ac:dyDescent="0.35">
      <c r="A263" s="10">
        <v>44867</v>
      </c>
      <c r="B263" s="11" t="s">
        <v>30</v>
      </c>
      <c r="C263" s="11" t="s">
        <v>26</v>
      </c>
    </row>
    <row r="264" spans="1:3" ht="14.5" x14ac:dyDescent="0.35">
      <c r="A264" s="10">
        <v>44880</v>
      </c>
      <c r="B264" s="11" t="s">
        <v>16</v>
      </c>
      <c r="C264" s="11" t="s">
        <v>27</v>
      </c>
    </row>
    <row r="265" spans="1:3" ht="14.5" x14ac:dyDescent="0.35">
      <c r="A265" s="10">
        <v>44920</v>
      </c>
      <c r="B265" s="11" t="s">
        <v>29</v>
      </c>
      <c r="C265" s="11" t="s">
        <v>28</v>
      </c>
    </row>
    <row r="266" spans="1:3" ht="14.5" x14ac:dyDescent="0.35">
      <c r="A266" s="8">
        <v>44927</v>
      </c>
      <c r="B266" s="9" t="s">
        <v>29</v>
      </c>
      <c r="C266" s="9" t="s">
        <v>14</v>
      </c>
    </row>
    <row r="267" spans="1:3" ht="14.5" x14ac:dyDescent="0.35">
      <c r="A267" s="8">
        <v>44977</v>
      </c>
      <c r="B267" s="9" t="s">
        <v>13</v>
      </c>
      <c r="C267" s="9" t="s">
        <v>15</v>
      </c>
    </row>
    <row r="268" spans="1:3" ht="14.5" x14ac:dyDescent="0.35">
      <c r="A268" s="8">
        <v>44978</v>
      </c>
      <c r="B268" s="9" t="s">
        <v>16</v>
      </c>
      <c r="C268" s="9" t="s">
        <v>15</v>
      </c>
    </row>
    <row r="269" spans="1:3" ht="14.5" x14ac:dyDescent="0.35">
      <c r="A269" s="8">
        <v>45023</v>
      </c>
      <c r="B269" s="9" t="s">
        <v>17</v>
      </c>
      <c r="C269" s="9" t="s">
        <v>18</v>
      </c>
    </row>
    <row r="270" spans="1:3" ht="14.5" x14ac:dyDescent="0.35">
      <c r="A270" s="8">
        <v>45037</v>
      </c>
      <c r="B270" s="9" t="s">
        <v>17</v>
      </c>
      <c r="C270" s="9" t="s">
        <v>20</v>
      </c>
    </row>
    <row r="271" spans="1:3" ht="14.5" x14ac:dyDescent="0.35">
      <c r="A271" s="8">
        <v>45047</v>
      </c>
      <c r="B271" s="9" t="s">
        <v>13</v>
      </c>
      <c r="C271" s="9" t="s">
        <v>21</v>
      </c>
    </row>
    <row r="272" spans="1:3" ht="14.5" x14ac:dyDescent="0.35">
      <c r="A272" s="8">
        <v>45085</v>
      </c>
      <c r="B272" s="9" t="s">
        <v>22</v>
      </c>
      <c r="C272" s="9" t="s">
        <v>23</v>
      </c>
    </row>
    <row r="273" spans="1:3" ht="14.5" x14ac:dyDescent="0.35">
      <c r="A273" s="8">
        <v>45176</v>
      </c>
      <c r="B273" s="9" t="s">
        <v>22</v>
      </c>
      <c r="C273" s="9" t="s">
        <v>24</v>
      </c>
    </row>
    <row r="274" spans="1:3" ht="14.5" x14ac:dyDescent="0.35">
      <c r="A274" s="8">
        <v>45211</v>
      </c>
      <c r="B274" s="9" t="s">
        <v>22</v>
      </c>
      <c r="C274" s="9" t="s">
        <v>25</v>
      </c>
    </row>
    <row r="275" spans="1:3" ht="14.5" x14ac:dyDescent="0.35">
      <c r="A275" s="8">
        <v>45232</v>
      </c>
      <c r="B275" s="9" t="s">
        <v>22</v>
      </c>
      <c r="C275" s="9" t="s">
        <v>26</v>
      </c>
    </row>
    <row r="276" spans="1:3" ht="14.5" x14ac:dyDescent="0.35">
      <c r="A276" s="8">
        <v>45245</v>
      </c>
      <c r="B276" s="9" t="s">
        <v>30</v>
      </c>
      <c r="C276" s="9" t="s">
        <v>27</v>
      </c>
    </row>
    <row r="277" spans="1:3" ht="14.5" x14ac:dyDescent="0.35">
      <c r="A277" s="8">
        <v>45285</v>
      </c>
      <c r="B277" s="9" t="s">
        <v>13</v>
      </c>
      <c r="C277" s="9" t="s">
        <v>28</v>
      </c>
    </row>
    <row r="278" spans="1:3" ht="14.5" x14ac:dyDescent="0.35">
      <c r="A278" s="10">
        <v>45292</v>
      </c>
      <c r="B278" s="11" t="s">
        <v>13</v>
      </c>
      <c r="C278" s="11" t="s">
        <v>14</v>
      </c>
    </row>
    <row r="279" spans="1:3" ht="14.5" x14ac:dyDescent="0.35">
      <c r="A279" s="10">
        <v>45334</v>
      </c>
      <c r="B279" s="11" t="s">
        <v>13</v>
      </c>
      <c r="C279" s="11" t="s">
        <v>15</v>
      </c>
    </row>
    <row r="280" spans="1:3" ht="14.5" x14ac:dyDescent="0.35">
      <c r="A280" s="10">
        <v>45335</v>
      </c>
      <c r="B280" s="11" t="s">
        <v>16</v>
      </c>
      <c r="C280" s="11" t="s">
        <v>15</v>
      </c>
    </row>
    <row r="281" spans="1:3" ht="14.5" x14ac:dyDescent="0.35">
      <c r="A281" s="10">
        <v>45380</v>
      </c>
      <c r="B281" s="11" t="s">
        <v>17</v>
      </c>
      <c r="C281" s="11" t="s">
        <v>18</v>
      </c>
    </row>
    <row r="282" spans="1:3" ht="14.5" x14ac:dyDescent="0.35">
      <c r="A282" s="10">
        <v>45403</v>
      </c>
      <c r="B282" s="11" t="s">
        <v>29</v>
      </c>
      <c r="C282" s="11" t="s">
        <v>20</v>
      </c>
    </row>
    <row r="283" spans="1:3" ht="14.5" x14ac:dyDescent="0.35">
      <c r="A283" s="10">
        <v>45413</v>
      </c>
      <c r="B283" s="11" t="s">
        <v>30</v>
      </c>
      <c r="C283" s="11" t="s">
        <v>21</v>
      </c>
    </row>
    <row r="284" spans="1:3" ht="14.5" x14ac:dyDescent="0.35">
      <c r="A284" s="10">
        <v>45442</v>
      </c>
      <c r="B284" s="11" t="s">
        <v>22</v>
      </c>
      <c r="C284" s="11" t="s">
        <v>23</v>
      </c>
    </row>
    <row r="285" spans="1:3" ht="14.5" x14ac:dyDescent="0.35">
      <c r="A285" s="10">
        <v>45542</v>
      </c>
      <c r="B285" s="11" t="s">
        <v>19</v>
      </c>
      <c r="C285" s="11" t="s">
        <v>24</v>
      </c>
    </row>
    <row r="286" spans="1:3" ht="14.5" x14ac:dyDescent="0.35">
      <c r="A286" s="10">
        <v>45577</v>
      </c>
      <c r="B286" s="11" t="s">
        <v>19</v>
      </c>
      <c r="C286" s="11" t="s">
        <v>25</v>
      </c>
    </row>
    <row r="287" spans="1:3" ht="14.5" x14ac:dyDescent="0.35">
      <c r="A287" s="10">
        <v>45598</v>
      </c>
      <c r="B287" s="11" t="s">
        <v>19</v>
      </c>
      <c r="C287" s="11" t="s">
        <v>26</v>
      </c>
    </row>
    <row r="288" spans="1:3" ht="14.5" x14ac:dyDescent="0.35">
      <c r="A288" s="10">
        <v>45611</v>
      </c>
      <c r="B288" s="11" t="s">
        <v>17</v>
      </c>
      <c r="C288" s="11" t="s">
        <v>27</v>
      </c>
    </row>
    <row r="289" spans="1:11" ht="14.5" x14ac:dyDescent="0.35">
      <c r="A289" s="10">
        <v>45616</v>
      </c>
      <c r="B289" s="11" t="s">
        <v>30</v>
      </c>
      <c r="C289" s="11" t="s">
        <v>31</v>
      </c>
      <c r="G289" s="12"/>
      <c r="K289" s="12"/>
    </row>
    <row r="290" spans="1:11" ht="14.5" x14ac:dyDescent="0.35">
      <c r="A290" s="10">
        <v>45651</v>
      </c>
      <c r="B290" s="11" t="s">
        <v>30</v>
      </c>
      <c r="C290" s="11" t="s">
        <v>28</v>
      </c>
    </row>
    <row r="291" spans="1:11" ht="14.5" x14ac:dyDescent="0.35">
      <c r="A291" s="8">
        <v>45658</v>
      </c>
      <c r="B291" s="9" t="s">
        <v>30</v>
      </c>
      <c r="C291" s="9" t="s">
        <v>14</v>
      </c>
    </row>
    <row r="292" spans="1:11" ht="14.5" x14ac:dyDescent="0.35">
      <c r="A292" s="8">
        <v>45719</v>
      </c>
      <c r="B292" s="9" t="s">
        <v>13</v>
      </c>
      <c r="C292" s="9" t="s">
        <v>15</v>
      </c>
    </row>
    <row r="293" spans="1:11" ht="14.5" x14ac:dyDescent="0.35">
      <c r="A293" s="8">
        <v>45720</v>
      </c>
      <c r="B293" s="9" t="s">
        <v>16</v>
      </c>
      <c r="C293" s="9" t="s">
        <v>15</v>
      </c>
    </row>
    <row r="294" spans="1:11" ht="14.5" x14ac:dyDescent="0.35">
      <c r="A294" s="8">
        <v>45765</v>
      </c>
      <c r="B294" s="9" t="s">
        <v>17</v>
      </c>
      <c r="C294" s="9" t="s">
        <v>18</v>
      </c>
    </row>
    <row r="295" spans="1:11" ht="14.5" x14ac:dyDescent="0.35">
      <c r="A295" s="8">
        <v>45768</v>
      </c>
      <c r="B295" s="9" t="s">
        <v>13</v>
      </c>
      <c r="C295" s="9" t="s">
        <v>20</v>
      </c>
    </row>
    <row r="296" spans="1:11" ht="14.5" x14ac:dyDescent="0.35">
      <c r="A296" s="8">
        <v>45778</v>
      </c>
      <c r="B296" s="9" t="s">
        <v>22</v>
      </c>
      <c r="C296" s="9" t="s">
        <v>21</v>
      </c>
    </row>
    <row r="297" spans="1:11" ht="14.5" x14ac:dyDescent="0.35">
      <c r="A297" s="8">
        <v>45827</v>
      </c>
      <c r="B297" s="9" t="s">
        <v>22</v>
      </c>
      <c r="C297" s="9" t="s">
        <v>23</v>
      </c>
    </row>
    <row r="298" spans="1:11" ht="14.5" x14ac:dyDescent="0.35">
      <c r="A298" s="8">
        <v>45907</v>
      </c>
      <c r="B298" s="9" t="s">
        <v>29</v>
      </c>
      <c r="C298" s="9" t="s">
        <v>24</v>
      </c>
    </row>
    <row r="299" spans="1:11" ht="14.5" x14ac:dyDescent="0.35">
      <c r="A299" s="8">
        <v>45942</v>
      </c>
      <c r="B299" s="9" t="s">
        <v>29</v>
      </c>
      <c r="C299" s="9" t="s">
        <v>25</v>
      </c>
    </row>
    <row r="300" spans="1:11" ht="14.5" x14ac:dyDescent="0.35">
      <c r="A300" s="8">
        <v>45963</v>
      </c>
      <c r="B300" s="9" t="s">
        <v>29</v>
      </c>
      <c r="C300" s="9" t="s">
        <v>26</v>
      </c>
    </row>
    <row r="301" spans="1:11" ht="14.5" x14ac:dyDescent="0.35">
      <c r="A301" s="8">
        <v>45976</v>
      </c>
      <c r="B301" s="9" t="s">
        <v>19</v>
      </c>
      <c r="C301" s="9" t="s">
        <v>27</v>
      </c>
    </row>
    <row r="302" spans="1:11" ht="14.5" x14ac:dyDescent="0.35">
      <c r="A302" s="8">
        <v>45981</v>
      </c>
      <c r="B302" s="9" t="s">
        <v>22</v>
      </c>
      <c r="C302" s="9" t="s">
        <v>31</v>
      </c>
      <c r="G302" s="12"/>
    </row>
    <row r="303" spans="1:11" ht="14.5" x14ac:dyDescent="0.35">
      <c r="A303" s="8">
        <v>46016</v>
      </c>
      <c r="B303" s="9" t="s">
        <v>22</v>
      </c>
      <c r="C303" s="9" t="s">
        <v>28</v>
      </c>
    </row>
    <row r="304" spans="1:11" ht="14.5" x14ac:dyDescent="0.35">
      <c r="A304" s="10">
        <v>46023</v>
      </c>
      <c r="B304" s="11" t="s">
        <v>22</v>
      </c>
      <c r="C304" s="11" t="s">
        <v>14</v>
      </c>
    </row>
    <row r="305" spans="1:7" ht="14.5" x14ac:dyDescent="0.35">
      <c r="A305" s="10">
        <v>46069</v>
      </c>
      <c r="B305" s="11" t="s">
        <v>13</v>
      </c>
      <c r="C305" s="11" t="s">
        <v>15</v>
      </c>
    </row>
    <row r="306" spans="1:7" ht="14.5" x14ac:dyDescent="0.35">
      <c r="A306" s="10">
        <v>46070</v>
      </c>
      <c r="B306" s="11" t="s">
        <v>16</v>
      </c>
      <c r="C306" s="11" t="s">
        <v>15</v>
      </c>
    </row>
    <row r="307" spans="1:7" ht="14.5" x14ac:dyDescent="0.35">
      <c r="A307" s="10">
        <v>46115</v>
      </c>
      <c r="B307" s="11" t="s">
        <v>17</v>
      </c>
      <c r="C307" s="11" t="s">
        <v>18</v>
      </c>
    </row>
    <row r="308" spans="1:7" ht="14.5" x14ac:dyDescent="0.35">
      <c r="A308" s="10">
        <v>46133</v>
      </c>
      <c r="B308" s="11" t="s">
        <v>16</v>
      </c>
      <c r="C308" s="11" t="s">
        <v>20</v>
      </c>
    </row>
    <row r="309" spans="1:7" ht="14.5" x14ac:dyDescent="0.35">
      <c r="A309" s="10">
        <v>46143</v>
      </c>
      <c r="B309" s="11" t="s">
        <v>17</v>
      </c>
      <c r="C309" s="11" t="s">
        <v>21</v>
      </c>
    </row>
    <row r="310" spans="1:7" ht="14.5" x14ac:dyDescent="0.35">
      <c r="A310" s="10">
        <v>46177</v>
      </c>
      <c r="B310" s="11" t="s">
        <v>22</v>
      </c>
      <c r="C310" s="11" t="s">
        <v>23</v>
      </c>
    </row>
    <row r="311" spans="1:7" ht="14.5" x14ac:dyDescent="0.35">
      <c r="A311" s="10">
        <v>46272</v>
      </c>
      <c r="B311" s="11" t="s">
        <v>13</v>
      </c>
      <c r="C311" s="11" t="s">
        <v>24</v>
      </c>
    </row>
    <row r="312" spans="1:7" ht="14.5" x14ac:dyDescent="0.35">
      <c r="A312" s="10">
        <v>46307</v>
      </c>
      <c r="B312" s="11" t="s">
        <v>13</v>
      </c>
      <c r="C312" s="11" t="s">
        <v>25</v>
      </c>
    </row>
    <row r="313" spans="1:7" ht="14.5" x14ac:dyDescent="0.35">
      <c r="A313" s="10">
        <v>46328</v>
      </c>
      <c r="B313" s="11" t="s">
        <v>13</v>
      </c>
      <c r="C313" s="11" t="s">
        <v>26</v>
      </c>
    </row>
    <row r="314" spans="1:7" ht="14.5" x14ac:dyDescent="0.35">
      <c r="A314" s="10">
        <v>46341</v>
      </c>
      <c r="B314" s="11" t="s">
        <v>29</v>
      </c>
      <c r="C314" s="11" t="s">
        <v>27</v>
      </c>
    </row>
    <row r="315" spans="1:7" ht="14.5" x14ac:dyDescent="0.35">
      <c r="A315" s="10">
        <v>46346</v>
      </c>
      <c r="B315" s="11" t="s">
        <v>17</v>
      </c>
      <c r="C315" s="11" t="s">
        <v>31</v>
      </c>
      <c r="G315" s="12"/>
    </row>
    <row r="316" spans="1:7" ht="14.5" x14ac:dyDescent="0.35">
      <c r="A316" s="10">
        <v>46381</v>
      </c>
      <c r="B316" s="11" t="s">
        <v>17</v>
      </c>
      <c r="C316" s="11" t="s">
        <v>28</v>
      </c>
    </row>
    <row r="317" spans="1:7" ht="14.5" x14ac:dyDescent="0.35">
      <c r="A317" s="8">
        <v>46388</v>
      </c>
      <c r="B317" s="9" t="s">
        <v>17</v>
      </c>
      <c r="C317" s="9" t="s">
        <v>14</v>
      </c>
    </row>
    <row r="318" spans="1:7" ht="14.5" x14ac:dyDescent="0.35">
      <c r="A318" s="8">
        <v>46426</v>
      </c>
      <c r="B318" s="9" t="s">
        <v>13</v>
      </c>
      <c r="C318" s="9" t="s">
        <v>15</v>
      </c>
    </row>
    <row r="319" spans="1:7" ht="14.5" x14ac:dyDescent="0.35">
      <c r="A319" s="8">
        <v>46427</v>
      </c>
      <c r="B319" s="9" t="s">
        <v>16</v>
      </c>
      <c r="C319" s="9" t="s">
        <v>15</v>
      </c>
    </row>
    <row r="320" spans="1:7" ht="14.5" x14ac:dyDescent="0.35">
      <c r="A320" s="8">
        <v>46472</v>
      </c>
      <c r="B320" s="9" t="s">
        <v>17</v>
      </c>
      <c r="C320" s="9" t="s">
        <v>18</v>
      </c>
    </row>
    <row r="321" spans="1:7" ht="14.5" x14ac:dyDescent="0.35">
      <c r="A321" s="8">
        <v>46498</v>
      </c>
      <c r="B321" s="9" t="s">
        <v>30</v>
      </c>
      <c r="C321" s="9" t="s">
        <v>20</v>
      </c>
    </row>
    <row r="322" spans="1:7" ht="14.5" x14ac:dyDescent="0.35">
      <c r="A322" s="8">
        <v>46508</v>
      </c>
      <c r="B322" s="9" t="s">
        <v>19</v>
      </c>
      <c r="C322" s="9" t="s">
        <v>21</v>
      </c>
    </row>
    <row r="323" spans="1:7" ht="14.5" x14ac:dyDescent="0.35">
      <c r="A323" s="8">
        <v>46534</v>
      </c>
      <c r="B323" s="9" t="s">
        <v>22</v>
      </c>
      <c r="C323" s="9" t="s">
        <v>23</v>
      </c>
    </row>
    <row r="324" spans="1:7" ht="14.5" x14ac:dyDescent="0.35">
      <c r="A324" s="8">
        <v>46637</v>
      </c>
      <c r="B324" s="9" t="s">
        <v>16</v>
      </c>
      <c r="C324" s="9" t="s">
        <v>24</v>
      </c>
    </row>
    <row r="325" spans="1:7" ht="14.5" x14ac:dyDescent="0.35">
      <c r="A325" s="8">
        <v>46672</v>
      </c>
      <c r="B325" s="9" t="s">
        <v>16</v>
      </c>
      <c r="C325" s="9" t="s">
        <v>25</v>
      </c>
    </row>
    <row r="326" spans="1:7" ht="14.5" x14ac:dyDescent="0.35">
      <c r="A326" s="8">
        <v>46693</v>
      </c>
      <c r="B326" s="9" t="s">
        <v>16</v>
      </c>
      <c r="C326" s="9" t="s">
        <v>26</v>
      </c>
    </row>
    <row r="327" spans="1:7" ht="14.5" x14ac:dyDescent="0.35">
      <c r="A327" s="8">
        <v>46706</v>
      </c>
      <c r="B327" s="9" t="s">
        <v>13</v>
      </c>
      <c r="C327" s="9" t="s">
        <v>27</v>
      </c>
    </row>
    <row r="328" spans="1:7" ht="14.5" x14ac:dyDescent="0.35">
      <c r="A328" s="8">
        <v>46711</v>
      </c>
      <c r="B328" s="9" t="s">
        <v>19</v>
      </c>
      <c r="C328" s="9" t="s">
        <v>31</v>
      </c>
      <c r="G328" s="12"/>
    </row>
    <row r="329" spans="1:7" ht="14.5" x14ac:dyDescent="0.35">
      <c r="A329" s="8">
        <v>46746</v>
      </c>
      <c r="B329" s="9" t="s">
        <v>19</v>
      </c>
      <c r="C329" s="9" t="s">
        <v>28</v>
      </c>
    </row>
    <row r="330" spans="1:7" ht="14.5" x14ac:dyDescent="0.35">
      <c r="A330" s="10">
        <v>46753</v>
      </c>
      <c r="B330" s="11" t="s">
        <v>19</v>
      </c>
      <c r="C330" s="11" t="s">
        <v>14</v>
      </c>
    </row>
    <row r="331" spans="1:7" ht="14.5" x14ac:dyDescent="0.35">
      <c r="A331" s="10">
        <v>46811</v>
      </c>
      <c r="B331" s="11" t="s">
        <v>13</v>
      </c>
      <c r="C331" s="11" t="s">
        <v>15</v>
      </c>
    </row>
    <row r="332" spans="1:7" ht="14.5" x14ac:dyDescent="0.35">
      <c r="A332" s="10">
        <v>46812</v>
      </c>
      <c r="B332" s="11" t="s">
        <v>16</v>
      </c>
      <c r="C332" s="11" t="s">
        <v>15</v>
      </c>
    </row>
    <row r="333" spans="1:7" ht="14.5" x14ac:dyDescent="0.35">
      <c r="A333" s="10">
        <v>46857</v>
      </c>
      <c r="B333" s="11" t="s">
        <v>17</v>
      </c>
      <c r="C333" s="11" t="s">
        <v>18</v>
      </c>
    </row>
    <row r="334" spans="1:7" ht="14.5" x14ac:dyDescent="0.35">
      <c r="A334" s="10">
        <v>46864</v>
      </c>
      <c r="B334" s="11" t="s">
        <v>17</v>
      </c>
      <c r="C334" s="11" t="s">
        <v>20</v>
      </c>
    </row>
    <row r="335" spans="1:7" ht="14.5" x14ac:dyDescent="0.35">
      <c r="A335" s="10">
        <v>46874</v>
      </c>
      <c r="B335" s="11" t="s">
        <v>13</v>
      </c>
      <c r="C335" s="11" t="s">
        <v>21</v>
      </c>
    </row>
    <row r="336" spans="1:7" ht="14.5" x14ac:dyDescent="0.35">
      <c r="A336" s="10">
        <v>46919</v>
      </c>
      <c r="B336" s="11" t="s">
        <v>22</v>
      </c>
      <c r="C336" s="11" t="s">
        <v>23</v>
      </c>
    </row>
    <row r="337" spans="1:7" ht="14.5" x14ac:dyDescent="0.35">
      <c r="A337" s="10">
        <v>47003</v>
      </c>
      <c r="B337" s="11" t="s">
        <v>22</v>
      </c>
      <c r="C337" s="11" t="s">
        <v>24</v>
      </c>
    </row>
    <row r="338" spans="1:7" ht="14.5" x14ac:dyDescent="0.35">
      <c r="A338" s="10">
        <v>47038</v>
      </c>
      <c r="B338" s="11" t="s">
        <v>22</v>
      </c>
      <c r="C338" s="11" t="s">
        <v>25</v>
      </c>
    </row>
    <row r="339" spans="1:7" ht="14.5" x14ac:dyDescent="0.35">
      <c r="A339" s="10">
        <v>47059</v>
      </c>
      <c r="B339" s="11" t="s">
        <v>22</v>
      </c>
      <c r="C339" s="11" t="s">
        <v>26</v>
      </c>
    </row>
    <row r="340" spans="1:7" ht="14.5" x14ac:dyDescent="0.35">
      <c r="A340" s="10">
        <v>47072</v>
      </c>
      <c r="B340" s="11" t="s">
        <v>30</v>
      </c>
      <c r="C340" s="11" t="s">
        <v>27</v>
      </c>
    </row>
    <row r="341" spans="1:7" ht="14.5" x14ac:dyDescent="0.35">
      <c r="A341" s="10">
        <v>47077</v>
      </c>
      <c r="B341" s="11" t="s">
        <v>13</v>
      </c>
      <c r="C341" s="11" t="s">
        <v>31</v>
      </c>
      <c r="G341" s="12"/>
    </row>
    <row r="342" spans="1:7" ht="14.5" x14ac:dyDescent="0.35">
      <c r="A342" s="10">
        <v>47112</v>
      </c>
      <c r="B342" s="11" t="s">
        <v>13</v>
      </c>
      <c r="C342" s="11" t="s">
        <v>28</v>
      </c>
    </row>
    <row r="343" spans="1:7" ht="14.5" x14ac:dyDescent="0.35">
      <c r="A343" s="8">
        <v>47119</v>
      </c>
      <c r="B343" s="9" t="s">
        <v>13</v>
      </c>
      <c r="C343" s="9" t="s">
        <v>14</v>
      </c>
    </row>
    <row r="344" spans="1:7" ht="14.5" x14ac:dyDescent="0.35">
      <c r="A344" s="8">
        <v>47161</v>
      </c>
      <c r="B344" s="9" t="s">
        <v>13</v>
      </c>
      <c r="C344" s="9" t="s">
        <v>15</v>
      </c>
    </row>
    <row r="345" spans="1:7" ht="14.5" x14ac:dyDescent="0.35">
      <c r="A345" s="8">
        <v>47162</v>
      </c>
      <c r="B345" s="9" t="s">
        <v>16</v>
      </c>
      <c r="C345" s="9" t="s">
        <v>15</v>
      </c>
    </row>
    <row r="346" spans="1:7" ht="14.5" x14ac:dyDescent="0.35">
      <c r="A346" s="8">
        <v>47207</v>
      </c>
      <c r="B346" s="9" t="s">
        <v>17</v>
      </c>
      <c r="C346" s="9" t="s">
        <v>18</v>
      </c>
    </row>
    <row r="347" spans="1:7" ht="14.5" x14ac:dyDescent="0.35">
      <c r="A347" s="8">
        <v>47229</v>
      </c>
      <c r="B347" s="9" t="s">
        <v>19</v>
      </c>
      <c r="C347" s="9" t="s">
        <v>20</v>
      </c>
    </row>
    <row r="348" spans="1:7" ht="14.5" x14ac:dyDescent="0.35">
      <c r="A348" s="8">
        <v>47239</v>
      </c>
      <c r="B348" s="9" t="s">
        <v>16</v>
      </c>
      <c r="C348" s="9" t="s">
        <v>21</v>
      </c>
    </row>
    <row r="349" spans="1:7" ht="14.5" x14ac:dyDescent="0.35">
      <c r="A349" s="8">
        <v>47269</v>
      </c>
      <c r="B349" s="9" t="s">
        <v>22</v>
      </c>
      <c r="C349" s="9" t="s">
        <v>23</v>
      </c>
    </row>
    <row r="350" spans="1:7" ht="14.5" x14ac:dyDescent="0.35">
      <c r="A350" s="8">
        <v>47368</v>
      </c>
      <c r="B350" s="9" t="s">
        <v>17</v>
      </c>
      <c r="C350" s="9" t="s">
        <v>24</v>
      </c>
    </row>
    <row r="351" spans="1:7" ht="14.5" x14ac:dyDescent="0.35">
      <c r="A351" s="8">
        <v>47403</v>
      </c>
      <c r="B351" s="9" t="s">
        <v>17</v>
      </c>
      <c r="C351" s="9" t="s">
        <v>25</v>
      </c>
    </row>
    <row r="352" spans="1:7" ht="14.5" x14ac:dyDescent="0.35">
      <c r="A352" s="8">
        <v>47424</v>
      </c>
      <c r="B352" s="9" t="s">
        <v>17</v>
      </c>
      <c r="C352" s="9" t="s">
        <v>26</v>
      </c>
    </row>
    <row r="353" spans="1:7" ht="14.5" x14ac:dyDescent="0.35">
      <c r="A353" s="8">
        <v>47437</v>
      </c>
      <c r="B353" s="9" t="s">
        <v>22</v>
      </c>
      <c r="C353" s="9" t="s">
        <v>27</v>
      </c>
    </row>
    <row r="354" spans="1:7" ht="14.5" x14ac:dyDescent="0.35">
      <c r="A354" s="8">
        <v>47442</v>
      </c>
      <c r="B354" s="9" t="s">
        <v>16</v>
      </c>
      <c r="C354" s="9" t="s">
        <v>31</v>
      </c>
      <c r="G354" s="12"/>
    </row>
    <row r="355" spans="1:7" ht="14.5" x14ac:dyDescent="0.35">
      <c r="A355" s="8">
        <v>47477</v>
      </c>
      <c r="B355" s="9" t="s">
        <v>16</v>
      </c>
      <c r="C355" s="9" t="s">
        <v>28</v>
      </c>
    </row>
    <row r="356" spans="1:7" ht="14.5" x14ac:dyDescent="0.35">
      <c r="A356" s="10">
        <v>47484</v>
      </c>
      <c r="B356" s="11" t="s">
        <v>16</v>
      </c>
      <c r="C356" s="11" t="s">
        <v>14</v>
      </c>
    </row>
    <row r="357" spans="1:7" ht="14.5" x14ac:dyDescent="0.35">
      <c r="A357" s="10">
        <v>47546</v>
      </c>
      <c r="B357" s="11" t="s">
        <v>13</v>
      </c>
      <c r="C357" s="11" t="s">
        <v>15</v>
      </c>
    </row>
    <row r="358" spans="1:7" ht="14.5" x14ac:dyDescent="0.35">
      <c r="A358" s="10">
        <v>47547</v>
      </c>
      <c r="B358" s="11" t="s">
        <v>16</v>
      </c>
      <c r="C358" s="11" t="s">
        <v>15</v>
      </c>
    </row>
    <row r="359" spans="1:7" ht="14.5" x14ac:dyDescent="0.35">
      <c r="A359" s="10">
        <v>47592</v>
      </c>
      <c r="B359" s="11" t="s">
        <v>17</v>
      </c>
      <c r="C359" s="11" t="s">
        <v>18</v>
      </c>
    </row>
    <row r="360" spans="1:7" ht="14.5" x14ac:dyDescent="0.35">
      <c r="A360" s="10">
        <v>47594</v>
      </c>
      <c r="B360" s="11" t="s">
        <v>29</v>
      </c>
      <c r="C360" s="11" t="s">
        <v>20</v>
      </c>
    </row>
    <row r="361" spans="1:7" ht="14.5" x14ac:dyDescent="0.35">
      <c r="A361" s="10">
        <v>47604</v>
      </c>
      <c r="B361" s="11" t="s">
        <v>30</v>
      </c>
      <c r="C361" s="11" t="s">
        <v>21</v>
      </c>
    </row>
    <row r="362" spans="1:7" ht="14.5" x14ac:dyDescent="0.35">
      <c r="A362" s="10">
        <v>47654</v>
      </c>
      <c r="B362" s="11" t="s">
        <v>22</v>
      </c>
      <c r="C362" s="11" t="s">
        <v>23</v>
      </c>
    </row>
    <row r="363" spans="1:7" ht="14.5" x14ac:dyDescent="0.35">
      <c r="A363" s="10">
        <v>47733</v>
      </c>
      <c r="B363" s="11" t="s">
        <v>19</v>
      </c>
      <c r="C363" s="11" t="s">
        <v>24</v>
      </c>
    </row>
    <row r="364" spans="1:7" ht="14.5" x14ac:dyDescent="0.35">
      <c r="A364" s="10">
        <v>47768</v>
      </c>
      <c r="B364" s="11" t="s">
        <v>19</v>
      </c>
      <c r="C364" s="11" t="s">
        <v>25</v>
      </c>
    </row>
    <row r="365" spans="1:7" ht="14.5" x14ac:dyDescent="0.35">
      <c r="A365" s="10">
        <v>47789</v>
      </c>
      <c r="B365" s="11" t="s">
        <v>19</v>
      </c>
      <c r="C365" s="11" t="s">
        <v>26</v>
      </c>
    </row>
    <row r="366" spans="1:7" ht="14.5" x14ac:dyDescent="0.35">
      <c r="A366" s="10">
        <v>47802</v>
      </c>
      <c r="B366" s="11" t="s">
        <v>17</v>
      </c>
      <c r="C366" s="11" t="s">
        <v>27</v>
      </c>
    </row>
    <row r="367" spans="1:7" ht="14.5" x14ac:dyDescent="0.35">
      <c r="A367" s="10">
        <v>47807</v>
      </c>
      <c r="B367" s="11" t="s">
        <v>30</v>
      </c>
      <c r="C367" s="11" t="s">
        <v>31</v>
      </c>
      <c r="G367" s="12"/>
    </row>
    <row r="368" spans="1:7" ht="14.5" x14ac:dyDescent="0.35">
      <c r="A368" s="10">
        <v>47842</v>
      </c>
      <c r="B368" s="11" t="s">
        <v>30</v>
      </c>
      <c r="C368" s="11" t="s">
        <v>28</v>
      </c>
    </row>
    <row r="369" spans="1:7" ht="14.5" x14ac:dyDescent="0.35">
      <c r="A369" s="8">
        <v>47849</v>
      </c>
      <c r="B369" s="9" t="s">
        <v>30</v>
      </c>
      <c r="C369" s="9" t="s">
        <v>14</v>
      </c>
    </row>
    <row r="370" spans="1:7" ht="14.5" x14ac:dyDescent="0.35">
      <c r="A370" s="8">
        <v>47903</v>
      </c>
      <c r="B370" s="9" t="s">
        <v>13</v>
      </c>
      <c r="C370" s="9" t="s">
        <v>15</v>
      </c>
    </row>
    <row r="371" spans="1:7" ht="14.5" x14ac:dyDescent="0.35">
      <c r="A371" s="8">
        <v>47904</v>
      </c>
      <c r="B371" s="9" t="s">
        <v>16</v>
      </c>
      <c r="C371" s="9" t="s">
        <v>15</v>
      </c>
    </row>
    <row r="372" spans="1:7" ht="14.5" x14ac:dyDescent="0.35">
      <c r="A372" s="8">
        <v>47949</v>
      </c>
      <c r="B372" s="9" t="s">
        <v>17</v>
      </c>
      <c r="C372" s="9" t="s">
        <v>18</v>
      </c>
    </row>
    <row r="373" spans="1:7" ht="14.5" x14ac:dyDescent="0.35">
      <c r="A373" s="8">
        <v>47959</v>
      </c>
      <c r="B373" s="9" t="s">
        <v>13</v>
      </c>
      <c r="C373" s="9" t="s">
        <v>20</v>
      </c>
    </row>
    <row r="374" spans="1:7" ht="14.5" x14ac:dyDescent="0.35">
      <c r="A374" s="8">
        <v>47969</v>
      </c>
      <c r="B374" s="9" t="s">
        <v>22</v>
      </c>
      <c r="C374" s="9" t="s">
        <v>21</v>
      </c>
    </row>
    <row r="375" spans="1:7" ht="14.5" x14ac:dyDescent="0.35">
      <c r="A375" s="8">
        <v>48011</v>
      </c>
      <c r="B375" s="9" t="s">
        <v>22</v>
      </c>
      <c r="C375" s="9" t="s">
        <v>23</v>
      </c>
    </row>
    <row r="376" spans="1:7" ht="14.5" x14ac:dyDescent="0.35">
      <c r="A376" s="8">
        <v>48098</v>
      </c>
      <c r="B376" s="9" t="s">
        <v>29</v>
      </c>
      <c r="C376" s="9" t="s">
        <v>24</v>
      </c>
    </row>
    <row r="377" spans="1:7" ht="14.5" x14ac:dyDescent="0.35">
      <c r="A377" s="8">
        <v>48133</v>
      </c>
      <c r="B377" s="9" t="s">
        <v>29</v>
      </c>
      <c r="C377" s="9" t="s">
        <v>25</v>
      </c>
    </row>
    <row r="378" spans="1:7" ht="14.5" x14ac:dyDescent="0.35">
      <c r="A378" s="8">
        <v>48154</v>
      </c>
      <c r="B378" s="9" t="s">
        <v>29</v>
      </c>
      <c r="C378" s="9" t="s">
        <v>26</v>
      </c>
    </row>
    <row r="379" spans="1:7" ht="14.5" x14ac:dyDescent="0.35">
      <c r="A379" s="8">
        <v>48167</v>
      </c>
      <c r="B379" s="9" t="s">
        <v>19</v>
      </c>
      <c r="C379" s="9" t="s">
        <v>27</v>
      </c>
    </row>
    <row r="380" spans="1:7" ht="14.5" x14ac:dyDescent="0.35">
      <c r="A380" s="8">
        <v>48172</v>
      </c>
      <c r="B380" s="9" t="s">
        <v>22</v>
      </c>
      <c r="C380" s="9" t="s">
        <v>31</v>
      </c>
      <c r="G380" s="12"/>
    </row>
    <row r="381" spans="1:7" ht="14.5" x14ac:dyDescent="0.35">
      <c r="A381" s="8">
        <v>48207</v>
      </c>
      <c r="B381" s="9" t="s">
        <v>22</v>
      </c>
      <c r="C381" s="9" t="s">
        <v>28</v>
      </c>
    </row>
    <row r="382" spans="1:7" ht="14.5" x14ac:dyDescent="0.35">
      <c r="A382" s="10">
        <v>48214</v>
      </c>
      <c r="B382" s="11" t="s">
        <v>22</v>
      </c>
      <c r="C382" s="11" t="s">
        <v>14</v>
      </c>
    </row>
    <row r="383" spans="1:7" ht="14.5" x14ac:dyDescent="0.35">
      <c r="A383" s="10">
        <v>48253</v>
      </c>
      <c r="B383" s="11" t="s">
        <v>13</v>
      </c>
      <c r="C383" s="11" t="s">
        <v>15</v>
      </c>
    </row>
    <row r="384" spans="1:7" ht="14.5" x14ac:dyDescent="0.35">
      <c r="A384" s="10">
        <v>48254</v>
      </c>
      <c r="B384" s="11" t="s">
        <v>16</v>
      </c>
      <c r="C384" s="11" t="s">
        <v>15</v>
      </c>
    </row>
    <row r="385" spans="1:7" ht="14.5" x14ac:dyDescent="0.35">
      <c r="A385" s="10">
        <v>48299</v>
      </c>
      <c r="B385" s="11" t="s">
        <v>17</v>
      </c>
      <c r="C385" s="11" t="s">
        <v>18</v>
      </c>
    </row>
    <row r="386" spans="1:7" ht="14.5" x14ac:dyDescent="0.35">
      <c r="A386" s="10">
        <v>48325</v>
      </c>
      <c r="B386" s="11" t="s">
        <v>30</v>
      </c>
      <c r="C386" s="11" t="s">
        <v>20</v>
      </c>
    </row>
    <row r="387" spans="1:7" ht="14.5" x14ac:dyDescent="0.35">
      <c r="A387" s="10">
        <v>48335</v>
      </c>
      <c r="B387" s="11" t="s">
        <v>19</v>
      </c>
      <c r="C387" s="11" t="s">
        <v>21</v>
      </c>
    </row>
    <row r="388" spans="1:7" ht="14.5" x14ac:dyDescent="0.35">
      <c r="A388" s="10">
        <v>48361</v>
      </c>
      <c r="B388" s="11" t="s">
        <v>22</v>
      </c>
      <c r="C388" s="11" t="s">
        <v>23</v>
      </c>
    </row>
    <row r="389" spans="1:7" ht="14.5" x14ac:dyDescent="0.35">
      <c r="A389" s="10">
        <v>48464</v>
      </c>
      <c r="B389" s="11" t="s">
        <v>16</v>
      </c>
      <c r="C389" s="11" t="s">
        <v>24</v>
      </c>
    </row>
    <row r="390" spans="1:7" ht="14.5" x14ac:dyDescent="0.35">
      <c r="A390" s="10">
        <v>48499</v>
      </c>
      <c r="B390" s="11" t="s">
        <v>16</v>
      </c>
      <c r="C390" s="11" t="s">
        <v>25</v>
      </c>
    </row>
    <row r="391" spans="1:7" ht="14.5" x14ac:dyDescent="0.35">
      <c r="A391" s="10">
        <v>48520</v>
      </c>
      <c r="B391" s="11" t="s">
        <v>16</v>
      </c>
      <c r="C391" s="11" t="s">
        <v>26</v>
      </c>
    </row>
    <row r="392" spans="1:7" ht="14.5" x14ac:dyDescent="0.35">
      <c r="A392" s="10">
        <v>48533</v>
      </c>
      <c r="B392" s="11" t="s">
        <v>13</v>
      </c>
      <c r="C392" s="11" t="s">
        <v>27</v>
      </c>
    </row>
    <row r="393" spans="1:7" ht="14.5" x14ac:dyDescent="0.35">
      <c r="A393" s="10">
        <v>48538</v>
      </c>
      <c r="B393" s="11" t="s">
        <v>19</v>
      </c>
      <c r="C393" s="11" t="s">
        <v>31</v>
      </c>
      <c r="G393" s="12"/>
    </row>
    <row r="394" spans="1:7" ht="14.5" x14ac:dyDescent="0.35">
      <c r="A394" s="10">
        <v>48573</v>
      </c>
      <c r="B394" s="11" t="s">
        <v>19</v>
      </c>
      <c r="C394" s="11" t="s">
        <v>28</v>
      </c>
    </row>
    <row r="395" spans="1:7" ht="14.5" x14ac:dyDescent="0.35">
      <c r="A395" s="8">
        <v>48580</v>
      </c>
      <c r="B395" s="9" t="s">
        <v>19</v>
      </c>
      <c r="C395" s="9" t="s">
        <v>14</v>
      </c>
    </row>
    <row r="396" spans="1:7" ht="14.5" x14ac:dyDescent="0.35">
      <c r="A396" s="8">
        <v>48638</v>
      </c>
      <c r="B396" s="9" t="s">
        <v>13</v>
      </c>
      <c r="C396" s="9" t="s">
        <v>15</v>
      </c>
    </row>
    <row r="397" spans="1:7" ht="14.5" x14ac:dyDescent="0.35">
      <c r="A397" s="8">
        <v>48639</v>
      </c>
      <c r="B397" s="9" t="s">
        <v>16</v>
      </c>
      <c r="C397" s="9" t="s">
        <v>15</v>
      </c>
    </row>
    <row r="398" spans="1:7" ht="14.5" x14ac:dyDescent="0.35">
      <c r="A398" s="8">
        <v>48684</v>
      </c>
      <c r="B398" s="9" t="s">
        <v>17</v>
      </c>
      <c r="C398" s="9" t="s">
        <v>18</v>
      </c>
    </row>
    <row r="399" spans="1:7" ht="14.5" x14ac:dyDescent="0.35">
      <c r="A399" s="8">
        <v>48690</v>
      </c>
      <c r="B399" s="9" t="s">
        <v>22</v>
      </c>
      <c r="C399" s="9" t="s">
        <v>20</v>
      </c>
    </row>
    <row r="400" spans="1:7" ht="14.5" x14ac:dyDescent="0.35">
      <c r="A400" s="8">
        <v>48700</v>
      </c>
      <c r="B400" s="9" t="s">
        <v>29</v>
      </c>
      <c r="C400" s="9" t="s">
        <v>21</v>
      </c>
    </row>
    <row r="401" spans="1:7" ht="14.5" x14ac:dyDescent="0.35">
      <c r="A401" s="8">
        <v>48746</v>
      </c>
      <c r="B401" s="9" t="s">
        <v>22</v>
      </c>
      <c r="C401" s="9" t="s">
        <v>23</v>
      </c>
    </row>
    <row r="402" spans="1:7" ht="14.5" x14ac:dyDescent="0.35">
      <c r="A402" s="8">
        <v>48829</v>
      </c>
      <c r="B402" s="9" t="s">
        <v>30</v>
      </c>
      <c r="C402" s="9" t="s">
        <v>24</v>
      </c>
    </row>
    <row r="403" spans="1:7" ht="14.5" x14ac:dyDescent="0.35">
      <c r="A403" s="8">
        <v>48864</v>
      </c>
      <c r="B403" s="9" t="s">
        <v>30</v>
      </c>
      <c r="C403" s="9" t="s">
        <v>25</v>
      </c>
    </row>
    <row r="404" spans="1:7" ht="14.5" x14ac:dyDescent="0.35">
      <c r="A404" s="8">
        <v>48885</v>
      </c>
      <c r="B404" s="9" t="s">
        <v>30</v>
      </c>
      <c r="C404" s="9" t="s">
        <v>26</v>
      </c>
    </row>
    <row r="405" spans="1:7" ht="14.5" x14ac:dyDescent="0.35">
      <c r="A405" s="8">
        <v>48898</v>
      </c>
      <c r="B405" s="9" t="s">
        <v>16</v>
      </c>
      <c r="C405" s="9" t="s">
        <v>27</v>
      </c>
    </row>
    <row r="406" spans="1:7" ht="14.5" x14ac:dyDescent="0.35">
      <c r="A406" s="8">
        <v>48903</v>
      </c>
      <c r="B406" s="9" t="s">
        <v>29</v>
      </c>
      <c r="C406" s="9" t="s">
        <v>31</v>
      </c>
      <c r="G406" s="12"/>
    </row>
    <row r="407" spans="1:7" ht="14.5" x14ac:dyDescent="0.35">
      <c r="A407" s="8">
        <v>48938</v>
      </c>
      <c r="B407" s="9" t="s">
        <v>29</v>
      </c>
      <c r="C407" s="9" t="s">
        <v>28</v>
      </c>
    </row>
    <row r="408" spans="1:7" ht="14.5" x14ac:dyDescent="0.35">
      <c r="A408" s="10">
        <v>48945</v>
      </c>
      <c r="B408" s="11" t="s">
        <v>29</v>
      </c>
      <c r="C408" s="11" t="s">
        <v>14</v>
      </c>
    </row>
    <row r="409" spans="1:7" ht="14.5" x14ac:dyDescent="0.35">
      <c r="A409" s="10">
        <v>48995</v>
      </c>
      <c r="B409" s="11" t="s">
        <v>13</v>
      </c>
      <c r="C409" s="11" t="s">
        <v>15</v>
      </c>
    </row>
    <row r="410" spans="1:7" ht="14.5" x14ac:dyDescent="0.35">
      <c r="A410" s="10">
        <v>48996</v>
      </c>
      <c r="B410" s="11" t="s">
        <v>16</v>
      </c>
      <c r="C410" s="11" t="s">
        <v>15</v>
      </c>
    </row>
    <row r="411" spans="1:7" ht="14.5" x14ac:dyDescent="0.35">
      <c r="A411" s="10">
        <v>49041</v>
      </c>
      <c r="B411" s="11" t="s">
        <v>17</v>
      </c>
      <c r="C411" s="11" t="s">
        <v>18</v>
      </c>
    </row>
    <row r="412" spans="1:7" ht="14.5" x14ac:dyDescent="0.35">
      <c r="A412" s="10">
        <v>49055</v>
      </c>
      <c r="B412" s="11" t="s">
        <v>17</v>
      </c>
      <c r="C412" s="11" t="s">
        <v>20</v>
      </c>
    </row>
    <row r="413" spans="1:7" ht="14.5" x14ac:dyDescent="0.35">
      <c r="A413" s="10">
        <v>49065</v>
      </c>
      <c r="B413" s="11" t="s">
        <v>13</v>
      </c>
      <c r="C413" s="11" t="s">
        <v>21</v>
      </c>
    </row>
    <row r="414" spans="1:7" ht="14.5" x14ac:dyDescent="0.35">
      <c r="A414" s="10">
        <v>49103</v>
      </c>
      <c r="B414" s="11" t="s">
        <v>22</v>
      </c>
      <c r="C414" s="11" t="s">
        <v>23</v>
      </c>
    </row>
    <row r="415" spans="1:7" ht="14.5" x14ac:dyDescent="0.35">
      <c r="A415" s="10">
        <v>49194</v>
      </c>
      <c r="B415" s="11" t="s">
        <v>22</v>
      </c>
      <c r="C415" s="11" t="s">
        <v>24</v>
      </c>
    </row>
    <row r="416" spans="1:7" ht="14.5" x14ac:dyDescent="0.35">
      <c r="A416" s="10">
        <v>49229</v>
      </c>
      <c r="B416" s="11" t="s">
        <v>22</v>
      </c>
      <c r="C416" s="11" t="s">
        <v>25</v>
      </c>
    </row>
    <row r="417" spans="1:7" ht="14.5" x14ac:dyDescent="0.35">
      <c r="A417" s="10">
        <v>49250</v>
      </c>
      <c r="B417" s="11" t="s">
        <v>22</v>
      </c>
      <c r="C417" s="11" t="s">
        <v>26</v>
      </c>
    </row>
    <row r="418" spans="1:7" ht="14.5" x14ac:dyDescent="0.35">
      <c r="A418" s="10">
        <v>49263</v>
      </c>
      <c r="B418" s="11" t="s">
        <v>30</v>
      </c>
      <c r="C418" s="11" t="s">
        <v>27</v>
      </c>
    </row>
    <row r="419" spans="1:7" ht="14.5" x14ac:dyDescent="0.35">
      <c r="A419" s="10">
        <v>49268</v>
      </c>
      <c r="B419" s="11" t="s">
        <v>13</v>
      </c>
      <c r="C419" s="11" t="s">
        <v>31</v>
      </c>
      <c r="G419" s="12"/>
    </row>
    <row r="420" spans="1:7" ht="14.5" x14ac:dyDescent="0.35">
      <c r="A420" s="10">
        <v>49303</v>
      </c>
      <c r="B420" s="11" t="s">
        <v>13</v>
      </c>
      <c r="C420" s="11" t="s">
        <v>28</v>
      </c>
    </row>
    <row r="421" spans="1:7" ht="14.5" x14ac:dyDescent="0.35">
      <c r="A421" s="8">
        <v>49310</v>
      </c>
      <c r="B421" s="9" t="s">
        <v>13</v>
      </c>
      <c r="C421" s="9" t="s">
        <v>14</v>
      </c>
    </row>
    <row r="422" spans="1:7" ht="14.5" x14ac:dyDescent="0.35">
      <c r="A422" s="8">
        <v>49345</v>
      </c>
      <c r="B422" s="9" t="s">
        <v>13</v>
      </c>
      <c r="C422" s="9" t="s">
        <v>15</v>
      </c>
    </row>
    <row r="423" spans="1:7" ht="14.5" x14ac:dyDescent="0.35">
      <c r="A423" s="8">
        <v>49346</v>
      </c>
      <c r="B423" s="9" t="s">
        <v>16</v>
      </c>
      <c r="C423" s="9" t="s">
        <v>15</v>
      </c>
    </row>
    <row r="424" spans="1:7" ht="14.5" x14ac:dyDescent="0.35">
      <c r="A424" s="8">
        <v>49391</v>
      </c>
      <c r="B424" s="9" t="s">
        <v>17</v>
      </c>
      <c r="C424" s="9" t="s">
        <v>18</v>
      </c>
    </row>
    <row r="425" spans="1:7" ht="14.5" x14ac:dyDescent="0.35">
      <c r="A425" s="8">
        <v>49420</v>
      </c>
      <c r="B425" s="9" t="s">
        <v>19</v>
      </c>
      <c r="C425" s="9" t="s">
        <v>20</v>
      </c>
    </row>
    <row r="426" spans="1:7" ht="14.5" x14ac:dyDescent="0.35">
      <c r="A426" s="8">
        <v>49430</v>
      </c>
      <c r="B426" s="9" t="s">
        <v>16</v>
      </c>
      <c r="C426" s="9" t="s">
        <v>21</v>
      </c>
    </row>
    <row r="427" spans="1:7" ht="14.5" x14ac:dyDescent="0.35">
      <c r="A427" s="8">
        <v>49453</v>
      </c>
      <c r="B427" s="9" t="s">
        <v>22</v>
      </c>
      <c r="C427" s="9" t="s">
        <v>23</v>
      </c>
    </row>
    <row r="428" spans="1:7" ht="14.5" x14ac:dyDescent="0.35">
      <c r="A428" s="8">
        <v>49559</v>
      </c>
      <c r="B428" s="9" t="s">
        <v>17</v>
      </c>
      <c r="C428" s="9" t="s">
        <v>24</v>
      </c>
    </row>
    <row r="429" spans="1:7" ht="14.5" x14ac:dyDescent="0.35">
      <c r="A429" s="8">
        <v>49594</v>
      </c>
      <c r="B429" s="9" t="s">
        <v>17</v>
      </c>
      <c r="C429" s="9" t="s">
        <v>25</v>
      </c>
    </row>
    <row r="430" spans="1:7" ht="14.5" x14ac:dyDescent="0.35">
      <c r="A430" s="8">
        <v>49615</v>
      </c>
      <c r="B430" s="9" t="s">
        <v>17</v>
      </c>
      <c r="C430" s="9" t="s">
        <v>26</v>
      </c>
    </row>
    <row r="431" spans="1:7" ht="14.5" x14ac:dyDescent="0.35">
      <c r="A431" s="8">
        <v>49628</v>
      </c>
      <c r="B431" s="9" t="s">
        <v>22</v>
      </c>
      <c r="C431" s="9" t="s">
        <v>27</v>
      </c>
    </row>
    <row r="432" spans="1:7" ht="14.5" x14ac:dyDescent="0.35">
      <c r="A432" s="8">
        <v>49633</v>
      </c>
      <c r="B432" s="9" t="s">
        <v>16</v>
      </c>
      <c r="C432" s="9" t="s">
        <v>31</v>
      </c>
      <c r="G432" s="12"/>
    </row>
    <row r="433" spans="1:7" ht="14.5" x14ac:dyDescent="0.35">
      <c r="A433" s="8">
        <v>49668</v>
      </c>
      <c r="B433" s="9" t="s">
        <v>16</v>
      </c>
      <c r="C433" s="9" t="s">
        <v>28</v>
      </c>
    </row>
    <row r="434" spans="1:7" ht="14.5" x14ac:dyDescent="0.35">
      <c r="A434" s="10">
        <v>49675</v>
      </c>
      <c r="B434" s="11" t="s">
        <v>16</v>
      </c>
      <c r="C434" s="11" t="s">
        <v>14</v>
      </c>
    </row>
    <row r="435" spans="1:7" ht="14.5" x14ac:dyDescent="0.35">
      <c r="A435" s="10">
        <v>49730</v>
      </c>
      <c r="B435" s="11" t="s">
        <v>13</v>
      </c>
      <c r="C435" s="11" t="s">
        <v>15</v>
      </c>
    </row>
    <row r="436" spans="1:7" ht="14.5" x14ac:dyDescent="0.35">
      <c r="A436" s="10">
        <v>49731</v>
      </c>
      <c r="B436" s="11" t="s">
        <v>16</v>
      </c>
      <c r="C436" s="11" t="s">
        <v>15</v>
      </c>
    </row>
    <row r="437" spans="1:7" ht="14.5" x14ac:dyDescent="0.35">
      <c r="A437" s="10">
        <v>49776</v>
      </c>
      <c r="B437" s="11" t="s">
        <v>17</v>
      </c>
      <c r="C437" s="11" t="s">
        <v>18</v>
      </c>
    </row>
    <row r="438" spans="1:7" ht="14.5" x14ac:dyDescent="0.35">
      <c r="A438" s="10">
        <v>49786</v>
      </c>
      <c r="B438" s="11" t="s">
        <v>13</v>
      </c>
      <c r="C438" s="11" t="s">
        <v>20</v>
      </c>
    </row>
    <row r="439" spans="1:7" ht="14.5" x14ac:dyDescent="0.35">
      <c r="A439" s="10">
        <v>49796</v>
      </c>
      <c r="B439" s="11" t="s">
        <v>22</v>
      </c>
      <c r="C439" s="11" t="s">
        <v>21</v>
      </c>
    </row>
    <row r="440" spans="1:7" ht="14.5" x14ac:dyDescent="0.35">
      <c r="A440" s="10">
        <v>49838</v>
      </c>
      <c r="B440" s="11" t="s">
        <v>22</v>
      </c>
      <c r="C440" s="11" t="s">
        <v>23</v>
      </c>
    </row>
    <row r="441" spans="1:7" ht="14.5" x14ac:dyDescent="0.35">
      <c r="A441" s="10">
        <v>49925</v>
      </c>
      <c r="B441" s="11" t="s">
        <v>29</v>
      </c>
      <c r="C441" s="11" t="s">
        <v>24</v>
      </c>
    </row>
    <row r="442" spans="1:7" ht="14.5" x14ac:dyDescent="0.35">
      <c r="A442" s="10">
        <v>49960</v>
      </c>
      <c r="B442" s="11" t="s">
        <v>29</v>
      </c>
      <c r="C442" s="11" t="s">
        <v>25</v>
      </c>
    </row>
    <row r="443" spans="1:7" ht="14.5" x14ac:dyDescent="0.35">
      <c r="A443" s="10">
        <v>49981</v>
      </c>
      <c r="B443" s="11" t="s">
        <v>29</v>
      </c>
      <c r="C443" s="11" t="s">
        <v>26</v>
      </c>
    </row>
    <row r="444" spans="1:7" ht="14.5" x14ac:dyDescent="0.35">
      <c r="A444" s="10">
        <v>49994</v>
      </c>
      <c r="B444" s="11" t="s">
        <v>19</v>
      </c>
      <c r="C444" s="11" t="s">
        <v>27</v>
      </c>
    </row>
    <row r="445" spans="1:7" ht="14.5" x14ac:dyDescent="0.35">
      <c r="A445" s="10">
        <v>49999</v>
      </c>
      <c r="B445" s="11" t="s">
        <v>22</v>
      </c>
      <c r="C445" s="11" t="s">
        <v>31</v>
      </c>
      <c r="G445" s="12"/>
    </row>
    <row r="446" spans="1:7" ht="14.5" x14ac:dyDescent="0.35">
      <c r="A446" s="10">
        <v>50034</v>
      </c>
      <c r="B446" s="11" t="s">
        <v>22</v>
      </c>
      <c r="C446" s="11" t="s">
        <v>28</v>
      </c>
    </row>
    <row r="447" spans="1:7" ht="14.5" x14ac:dyDescent="0.35">
      <c r="A447" s="8">
        <v>50041</v>
      </c>
      <c r="B447" s="9" t="s">
        <v>22</v>
      </c>
      <c r="C447" s="9" t="s">
        <v>14</v>
      </c>
    </row>
    <row r="448" spans="1:7" ht="14.5" x14ac:dyDescent="0.35">
      <c r="A448" s="8">
        <v>50087</v>
      </c>
      <c r="B448" s="9" t="s">
        <v>13</v>
      </c>
      <c r="C448" s="9" t="s">
        <v>15</v>
      </c>
    </row>
    <row r="449" spans="1:7" ht="14.5" x14ac:dyDescent="0.35">
      <c r="A449" s="8">
        <v>50088</v>
      </c>
      <c r="B449" s="9" t="s">
        <v>16</v>
      </c>
      <c r="C449" s="9" t="s">
        <v>15</v>
      </c>
    </row>
    <row r="450" spans="1:7" ht="14.5" x14ac:dyDescent="0.35">
      <c r="A450" s="8">
        <v>50133</v>
      </c>
      <c r="B450" s="9" t="s">
        <v>17</v>
      </c>
      <c r="C450" s="9" t="s">
        <v>18</v>
      </c>
    </row>
    <row r="451" spans="1:7" ht="14.5" x14ac:dyDescent="0.35">
      <c r="A451" s="8">
        <v>50151</v>
      </c>
      <c r="B451" s="9" t="s">
        <v>16</v>
      </c>
      <c r="C451" s="9" t="s">
        <v>20</v>
      </c>
    </row>
    <row r="452" spans="1:7" ht="14.5" x14ac:dyDescent="0.35">
      <c r="A452" s="8">
        <v>50161</v>
      </c>
      <c r="B452" s="9" t="s">
        <v>17</v>
      </c>
      <c r="C452" s="9" t="s">
        <v>21</v>
      </c>
    </row>
    <row r="453" spans="1:7" ht="14.5" x14ac:dyDescent="0.35">
      <c r="A453" s="8">
        <v>50195</v>
      </c>
      <c r="B453" s="9" t="s">
        <v>22</v>
      </c>
      <c r="C453" s="9" t="s">
        <v>23</v>
      </c>
    </row>
    <row r="454" spans="1:7" ht="14.5" x14ac:dyDescent="0.35">
      <c r="A454" s="8">
        <v>50290</v>
      </c>
      <c r="B454" s="9" t="s">
        <v>13</v>
      </c>
      <c r="C454" s="9" t="s">
        <v>24</v>
      </c>
    </row>
    <row r="455" spans="1:7" ht="14.5" x14ac:dyDescent="0.35">
      <c r="A455" s="8">
        <v>50325</v>
      </c>
      <c r="B455" s="9" t="s">
        <v>13</v>
      </c>
      <c r="C455" s="9" t="s">
        <v>25</v>
      </c>
    </row>
    <row r="456" spans="1:7" ht="14.5" x14ac:dyDescent="0.35">
      <c r="A456" s="8">
        <v>50346</v>
      </c>
      <c r="B456" s="9" t="s">
        <v>13</v>
      </c>
      <c r="C456" s="9" t="s">
        <v>26</v>
      </c>
    </row>
    <row r="457" spans="1:7" ht="14.5" x14ac:dyDescent="0.35">
      <c r="A457" s="8">
        <v>50359</v>
      </c>
      <c r="B457" s="9" t="s">
        <v>29</v>
      </c>
      <c r="C457" s="9" t="s">
        <v>27</v>
      </c>
    </row>
    <row r="458" spans="1:7" ht="14.5" x14ac:dyDescent="0.35">
      <c r="A458" s="8">
        <v>50364</v>
      </c>
      <c r="B458" s="9" t="s">
        <v>17</v>
      </c>
      <c r="C458" s="9" t="s">
        <v>31</v>
      </c>
      <c r="G458" s="12"/>
    </row>
    <row r="459" spans="1:7" ht="14.5" x14ac:dyDescent="0.35">
      <c r="A459" s="8">
        <v>50399</v>
      </c>
      <c r="B459" s="9" t="s">
        <v>17</v>
      </c>
      <c r="C459" s="9" t="s">
        <v>28</v>
      </c>
    </row>
    <row r="460" spans="1:7" ht="14.5" x14ac:dyDescent="0.35">
      <c r="A460" s="10">
        <v>50406</v>
      </c>
      <c r="B460" s="11" t="s">
        <v>17</v>
      </c>
      <c r="C460" s="11" t="s">
        <v>14</v>
      </c>
    </row>
    <row r="461" spans="1:7" ht="14.5" x14ac:dyDescent="0.35">
      <c r="A461" s="10">
        <v>50472</v>
      </c>
      <c r="B461" s="11" t="s">
        <v>13</v>
      </c>
      <c r="C461" s="11" t="s">
        <v>15</v>
      </c>
    </row>
    <row r="462" spans="1:7" ht="14.5" x14ac:dyDescent="0.35">
      <c r="A462" s="10">
        <v>50473</v>
      </c>
      <c r="B462" s="11" t="s">
        <v>16</v>
      </c>
      <c r="C462" s="11" t="s">
        <v>15</v>
      </c>
    </row>
    <row r="463" spans="1:7" ht="14.5" x14ac:dyDescent="0.35">
      <c r="A463" s="10">
        <v>50516</v>
      </c>
      <c r="B463" s="11" t="s">
        <v>30</v>
      </c>
      <c r="C463" s="11" t="s">
        <v>20</v>
      </c>
    </row>
    <row r="464" spans="1:7" ht="14.5" x14ac:dyDescent="0.35">
      <c r="A464" s="10">
        <v>50518</v>
      </c>
      <c r="B464" s="11" t="s">
        <v>17</v>
      </c>
      <c r="C464" s="11" t="s">
        <v>18</v>
      </c>
    </row>
    <row r="465" spans="1:7" ht="14.5" x14ac:dyDescent="0.35">
      <c r="A465" s="10">
        <v>50526</v>
      </c>
      <c r="B465" s="11" t="s">
        <v>19</v>
      </c>
      <c r="C465" s="11" t="s">
        <v>21</v>
      </c>
    </row>
    <row r="466" spans="1:7" ht="14.5" x14ac:dyDescent="0.35">
      <c r="A466" s="10">
        <v>50580</v>
      </c>
      <c r="B466" s="11" t="s">
        <v>22</v>
      </c>
      <c r="C466" s="11" t="s">
        <v>23</v>
      </c>
    </row>
    <row r="467" spans="1:7" ht="14.5" x14ac:dyDescent="0.35">
      <c r="A467" s="10">
        <v>50655</v>
      </c>
      <c r="B467" s="11" t="s">
        <v>16</v>
      </c>
      <c r="C467" s="11" t="s">
        <v>24</v>
      </c>
    </row>
    <row r="468" spans="1:7" ht="14.5" x14ac:dyDescent="0.35">
      <c r="A468" s="10">
        <v>50690</v>
      </c>
      <c r="B468" s="11" t="s">
        <v>16</v>
      </c>
      <c r="C468" s="11" t="s">
        <v>25</v>
      </c>
    </row>
    <row r="469" spans="1:7" ht="14.5" x14ac:dyDescent="0.35">
      <c r="A469" s="10">
        <v>50711</v>
      </c>
      <c r="B469" s="11" t="s">
        <v>16</v>
      </c>
      <c r="C469" s="11" t="s">
        <v>26</v>
      </c>
    </row>
    <row r="470" spans="1:7" ht="14.5" x14ac:dyDescent="0.35">
      <c r="A470" s="10">
        <v>50724</v>
      </c>
      <c r="B470" s="11" t="s">
        <v>13</v>
      </c>
      <c r="C470" s="11" t="s">
        <v>27</v>
      </c>
    </row>
    <row r="471" spans="1:7" ht="14.5" x14ac:dyDescent="0.35">
      <c r="A471" s="10">
        <v>50729</v>
      </c>
      <c r="B471" s="11" t="s">
        <v>19</v>
      </c>
      <c r="C471" s="11" t="s">
        <v>31</v>
      </c>
      <c r="G471" s="12"/>
    </row>
    <row r="472" spans="1:7" ht="14.5" x14ac:dyDescent="0.35">
      <c r="A472" s="10">
        <v>50764</v>
      </c>
      <c r="B472" s="11" t="s">
        <v>19</v>
      </c>
      <c r="C472" s="11" t="s">
        <v>28</v>
      </c>
    </row>
    <row r="473" spans="1:7" ht="14.5" x14ac:dyDescent="0.35">
      <c r="A473" s="8">
        <v>50771</v>
      </c>
      <c r="B473" s="9" t="s">
        <v>19</v>
      </c>
      <c r="C473" s="9" t="s">
        <v>14</v>
      </c>
    </row>
    <row r="474" spans="1:7" ht="14.5" x14ac:dyDescent="0.35">
      <c r="A474" s="8">
        <v>50822</v>
      </c>
      <c r="B474" s="9" t="s">
        <v>13</v>
      </c>
      <c r="C474" s="9" t="s">
        <v>15</v>
      </c>
    </row>
    <row r="475" spans="1:7" ht="14.5" x14ac:dyDescent="0.35">
      <c r="A475" s="8">
        <v>50823</v>
      </c>
      <c r="B475" s="9" t="s">
        <v>16</v>
      </c>
      <c r="C475" s="9" t="s">
        <v>15</v>
      </c>
    </row>
    <row r="476" spans="1:7" ht="14.5" x14ac:dyDescent="0.35">
      <c r="A476" s="8">
        <v>50868</v>
      </c>
      <c r="B476" s="9" t="s">
        <v>17</v>
      </c>
      <c r="C476" s="9" t="s">
        <v>18</v>
      </c>
    </row>
    <row r="477" spans="1:7" ht="14.5" x14ac:dyDescent="0.35">
      <c r="A477" s="8">
        <v>50881</v>
      </c>
      <c r="B477" s="9" t="s">
        <v>22</v>
      </c>
      <c r="C477" s="9" t="s">
        <v>20</v>
      </c>
    </row>
    <row r="478" spans="1:7" ht="14.5" x14ac:dyDescent="0.35">
      <c r="A478" s="8">
        <v>50891</v>
      </c>
      <c r="B478" s="9" t="s">
        <v>29</v>
      </c>
      <c r="C478" s="9" t="s">
        <v>21</v>
      </c>
    </row>
    <row r="479" spans="1:7" ht="14.5" x14ac:dyDescent="0.35">
      <c r="A479" s="8">
        <v>50930</v>
      </c>
      <c r="B479" s="9" t="s">
        <v>22</v>
      </c>
      <c r="C479" s="9" t="s">
        <v>23</v>
      </c>
    </row>
    <row r="480" spans="1:7" ht="14.5" x14ac:dyDescent="0.35">
      <c r="A480" s="8">
        <v>51020</v>
      </c>
      <c r="B480" s="9" t="s">
        <v>30</v>
      </c>
      <c r="C480" s="9" t="s">
        <v>24</v>
      </c>
    </row>
    <row r="481" spans="1:7" ht="14.5" x14ac:dyDescent="0.35">
      <c r="A481" s="8">
        <v>51055</v>
      </c>
      <c r="B481" s="9" t="s">
        <v>30</v>
      </c>
      <c r="C481" s="9" t="s">
        <v>25</v>
      </c>
    </row>
    <row r="482" spans="1:7" ht="14.5" x14ac:dyDescent="0.35">
      <c r="A482" s="8">
        <v>51076</v>
      </c>
      <c r="B482" s="9" t="s">
        <v>30</v>
      </c>
      <c r="C482" s="9" t="s">
        <v>26</v>
      </c>
    </row>
    <row r="483" spans="1:7" ht="14.5" x14ac:dyDescent="0.35">
      <c r="A483" s="8">
        <v>51089</v>
      </c>
      <c r="B483" s="9" t="s">
        <v>16</v>
      </c>
      <c r="C483" s="9" t="s">
        <v>27</v>
      </c>
    </row>
    <row r="484" spans="1:7" ht="14.5" x14ac:dyDescent="0.35">
      <c r="A484" s="8">
        <v>51094</v>
      </c>
      <c r="B484" s="9" t="s">
        <v>29</v>
      </c>
      <c r="C484" s="9" t="s">
        <v>31</v>
      </c>
      <c r="G484" s="12"/>
    </row>
    <row r="485" spans="1:7" ht="14.5" x14ac:dyDescent="0.35">
      <c r="A485" s="8">
        <v>51129</v>
      </c>
      <c r="B485" s="9" t="s">
        <v>29</v>
      </c>
      <c r="C485" s="9" t="s">
        <v>28</v>
      </c>
    </row>
    <row r="486" spans="1:7" ht="14.5" x14ac:dyDescent="0.35">
      <c r="A486" s="10">
        <v>51136</v>
      </c>
      <c r="B486" s="11" t="s">
        <v>29</v>
      </c>
      <c r="C486" s="11" t="s">
        <v>14</v>
      </c>
    </row>
    <row r="487" spans="1:7" ht="14.5" x14ac:dyDescent="0.35">
      <c r="A487" s="10">
        <v>51179</v>
      </c>
      <c r="B487" s="11" t="s">
        <v>13</v>
      </c>
      <c r="C487" s="11" t="s">
        <v>15</v>
      </c>
    </row>
    <row r="488" spans="1:7" ht="14.5" x14ac:dyDescent="0.35">
      <c r="A488" s="10">
        <v>51180</v>
      </c>
      <c r="B488" s="11" t="s">
        <v>16</v>
      </c>
      <c r="C488" s="11" t="s">
        <v>15</v>
      </c>
    </row>
    <row r="489" spans="1:7" ht="14.5" x14ac:dyDescent="0.35">
      <c r="A489" s="10">
        <v>51225</v>
      </c>
      <c r="B489" s="11" t="s">
        <v>17</v>
      </c>
      <c r="C489" s="11" t="s">
        <v>18</v>
      </c>
    </row>
    <row r="490" spans="1:7" ht="14.5" x14ac:dyDescent="0.35">
      <c r="A490" s="10">
        <v>51247</v>
      </c>
      <c r="B490" s="11" t="s">
        <v>19</v>
      </c>
      <c r="C490" s="11" t="s">
        <v>20</v>
      </c>
    </row>
    <row r="491" spans="1:7" ht="14.5" x14ac:dyDescent="0.35">
      <c r="A491" s="10">
        <v>51257</v>
      </c>
      <c r="B491" s="11" t="s">
        <v>16</v>
      </c>
      <c r="C491" s="11" t="s">
        <v>21</v>
      </c>
    </row>
    <row r="492" spans="1:7" ht="14.5" x14ac:dyDescent="0.35">
      <c r="A492" s="10">
        <v>51287</v>
      </c>
      <c r="B492" s="11" t="s">
        <v>22</v>
      </c>
      <c r="C492" s="11" t="s">
        <v>23</v>
      </c>
    </row>
    <row r="493" spans="1:7" ht="14.5" x14ac:dyDescent="0.35">
      <c r="A493" s="10">
        <v>51386</v>
      </c>
      <c r="B493" s="11" t="s">
        <v>17</v>
      </c>
      <c r="C493" s="11" t="s">
        <v>24</v>
      </c>
    </row>
    <row r="494" spans="1:7" ht="14.5" x14ac:dyDescent="0.35">
      <c r="A494" s="10">
        <v>51421</v>
      </c>
      <c r="B494" s="11" t="s">
        <v>17</v>
      </c>
      <c r="C494" s="11" t="s">
        <v>25</v>
      </c>
    </row>
    <row r="495" spans="1:7" ht="14.5" x14ac:dyDescent="0.35">
      <c r="A495" s="10">
        <v>51442</v>
      </c>
      <c r="B495" s="11" t="s">
        <v>17</v>
      </c>
      <c r="C495" s="11" t="s">
        <v>26</v>
      </c>
    </row>
    <row r="496" spans="1:7" ht="14.5" x14ac:dyDescent="0.35">
      <c r="A496" s="10">
        <v>51455</v>
      </c>
      <c r="B496" s="11" t="s">
        <v>22</v>
      </c>
      <c r="C496" s="11" t="s">
        <v>27</v>
      </c>
    </row>
    <row r="497" spans="1:7" ht="14.5" x14ac:dyDescent="0.35">
      <c r="A497" s="10">
        <v>51460</v>
      </c>
      <c r="B497" s="11" t="s">
        <v>16</v>
      </c>
      <c r="C497" s="11" t="s">
        <v>31</v>
      </c>
      <c r="G497" s="12"/>
    </row>
    <row r="498" spans="1:7" ht="14.5" x14ac:dyDescent="0.35">
      <c r="A498" s="10">
        <v>51495</v>
      </c>
      <c r="B498" s="11" t="s">
        <v>16</v>
      </c>
      <c r="C498" s="11" t="s">
        <v>28</v>
      </c>
    </row>
    <row r="499" spans="1:7" ht="14.5" x14ac:dyDescent="0.35">
      <c r="A499" s="8">
        <v>51502</v>
      </c>
      <c r="B499" s="9" t="s">
        <v>16</v>
      </c>
      <c r="C499" s="9" t="s">
        <v>14</v>
      </c>
    </row>
    <row r="500" spans="1:7" ht="14.5" x14ac:dyDescent="0.35">
      <c r="A500" s="8">
        <v>51564</v>
      </c>
      <c r="B500" s="9" t="s">
        <v>13</v>
      </c>
      <c r="C500" s="9" t="s">
        <v>15</v>
      </c>
    </row>
    <row r="501" spans="1:7" ht="14.5" x14ac:dyDescent="0.35">
      <c r="A501" s="8">
        <v>51565</v>
      </c>
      <c r="B501" s="9" t="s">
        <v>16</v>
      </c>
      <c r="C501" s="9" t="s">
        <v>15</v>
      </c>
    </row>
    <row r="502" spans="1:7" ht="14.5" x14ac:dyDescent="0.35">
      <c r="A502" s="8">
        <v>51610</v>
      </c>
      <c r="B502" s="9" t="s">
        <v>17</v>
      </c>
      <c r="C502" s="9" t="s">
        <v>18</v>
      </c>
    </row>
    <row r="503" spans="1:7" ht="14.5" x14ac:dyDescent="0.35">
      <c r="A503" s="8">
        <v>51612</v>
      </c>
      <c r="B503" s="9" t="s">
        <v>29</v>
      </c>
      <c r="C503" s="9" t="s">
        <v>20</v>
      </c>
    </row>
    <row r="504" spans="1:7" ht="14.5" x14ac:dyDescent="0.35">
      <c r="A504" s="8">
        <v>51622</v>
      </c>
      <c r="B504" s="9" t="s">
        <v>30</v>
      </c>
      <c r="C504" s="9" t="s">
        <v>21</v>
      </c>
    </row>
    <row r="505" spans="1:7" ht="14.5" x14ac:dyDescent="0.35">
      <c r="A505" s="8">
        <v>51672</v>
      </c>
      <c r="B505" s="9" t="s">
        <v>22</v>
      </c>
      <c r="C505" s="9" t="s">
        <v>23</v>
      </c>
    </row>
    <row r="506" spans="1:7" ht="14.5" x14ac:dyDescent="0.35">
      <c r="A506" s="8">
        <v>51751</v>
      </c>
      <c r="B506" s="9" t="s">
        <v>19</v>
      </c>
      <c r="C506" s="9" t="s">
        <v>24</v>
      </c>
    </row>
    <row r="507" spans="1:7" ht="14.5" x14ac:dyDescent="0.35">
      <c r="A507" s="8">
        <v>51786</v>
      </c>
      <c r="B507" s="9" t="s">
        <v>19</v>
      </c>
      <c r="C507" s="9" t="s">
        <v>25</v>
      </c>
    </row>
    <row r="508" spans="1:7" ht="14.5" x14ac:dyDescent="0.35">
      <c r="A508" s="8">
        <v>51807</v>
      </c>
      <c r="B508" s="9" t="s">
        <v>19</v>
      </c>
      <c r="C508" s="9" t="s">
        <v>26</v>
      </c>
    </row>
    <row r="509" spans="1:7" ht="14.5" x14ac:dyDescent="0.35">
      <c r="A509" s="8">
        <v>51820</v>
      </c>
      <c r="B509" s="9" t="s">
        <v>17</v>
      </c>
      <c r="C509" s="9" t="s">
        <v>27</v>
      </c>
    </row>
    <row r="510" spans="1:7" ht="14.5" x14ac:dyDescent="0.35">
      <c r="A510" s="8">
        <v>51825</v>
      </c>
      <c r="B510" s="9" t="s">
        <v>30</v>
      </c>
      <c r="C510" s="9" t="s">
        <v>31</v>
      </c>
      <c r="G510" s="12"/>
    </row>
    <row r="511" spans="1:7" ht="14.5" x14ac:dyDescent="0.35">
      <c r="A511" s="8">
        <v>51860</v>
      </c>
      <c r="B511" s="9" t="s">
        <v>30</v>
      </c>
      <c r="C511" s="9" t="s">
        <v>28</v>
      </c>
    </row>
    <row r="512" spans="1:7" ht="14.5" x14ac:dyDescent="0.35">
      <c r="A512" s="10">
        <v>51867</v>
      </c>
      <c r="B512" s="11" t="s">
        <v>30</v>
      </c>
      <c r="C512" s="11" t="s">
        <v>14</v>
      </c>
    </row>
    <row r="513" spans="1:7" ht="14.5" x14ac:dyDescent="0.35">
      <c r="A513" s="10">
        <v>51914</v>
      </c>
      <c r="B513" s="11" t="s">
        <v>13</v>
      </c>
      <c r="C513" s="11" t="s">
        <v>15</v>
      </c>
    </row>
    <row r="514" spans="1:7" ht="14.5" x14ac:dyDescent="0.35">
      <c r="A514" s="10">
        <v>51915</v>
      </c>
      <c r="B514" s="11" t="s">
        <v>16</v>
      </c>
      <c r="C514" s="11" t="s">
        <v>15</v>
      </c>
    </row>
    <row r="515" spans="1:7" ht="14.5" x14ac:dyDescent="0.35">
      <c r="A515" s="10">
        <v>51960</v>
      </c>
      <c r="B515" s="11" t="s">
        <v>17</v>
      </c>
      <c r="C515" s="11" t="s">
        <v>18</v>
      </c>
    </row>
    <row r="516" spans="1:7" ht="14.5" x14ac:dyDescent="0.35">
      <c r="A516" s="10">
        <v>51977</v>
      </c>
      <c r="B516" s="11" t="s">
        <v>13</v>
      </c>
      <c r="C516" s="11" t="s">
        <v>20</v>
      </c>
    </row>
    <row r="517" spans="1:7" ht="14.5" x14ac:dyDescent="0.35">
      <c r="A517" s="10">
        <v>51987</v>
      </c>
      <c r="B517" s="11" t="s">
        <v>22</v>
      </c>
      <c r="C517" s="11" t="s">
        <v>21</v>
      </c>
    </row>
    <row r="518" spans="1:7" ht="14.5" x14ac:dyDescent="0.35">
      <c r="A518" s="10">
        <v>52022</v>
      </c>
      <c r="B518" s="11" t="s">
        <v>22</v>
      </c>
      <c r="C518" s="11" t="s">
        <v>23</v>
      </c>
    </row>
    <row r="519" spans="1:7" ht="14.5" x14ac:dyDescent="0.35">
      <c r="A519" s="10">
        <v>52116</v>
      </c>
      <c r="B519" s="11" t="s">
        <v>29</v>
      </c>
      <c r="C519" s="11" t="s">
        <v>24</v>
      </c>
    </row>
    <row r="520" spans="1:7" ht="14.5" x14ac:dyDescent="0.35">
      <c r="A520" s="10">
        <v>52151</v>
      </c>
      <c r="B520" s="11" t="s">
        <v>29</v>
      </c>
      <c r="C520" s="11" t="s">
        <v>25</v>
      </c>
    </row>
    <row r="521" spans="1:7" ht="14.5" x14ac:dyDescent="0.35">
      <c r="A521" s="10">
        <v>52172</v>
      </c>
      <c r="B521" s="11" t="s">
        <v>29</v>
      </c>
      <c r="C521" s="11" t="s">
        <v>26</v>
      </c>
    </row>
    <row r="522" spans="1:7" ht="14.5" x14ac:dyDescent="0.35">
      <c r="A522" s="10">
        <v>52185</v>
      </c>
      <c r="B522" s="11" t="s">
        <v>19</v>
      </c>
      <c r="C522" s="11" t="s">
        <v>27</v>
      </c>
    </row>
    <row r="523" spans="1:7" ht="14.5" x14ac:dyDescent="0.35">
      <c r="A523" s="10">
        <v>52190</v>
      </c>
      <c r="B523" s="11" t="s">
        <v>22</v>
      </c>
      <c r="C523" s="11" t="s">
        <v>31</v>
      </c>
      <c r="G523" s="12"/>
    </row>
    <row r="524" spans="1:7" ht="14.5" x14ac:dyDescent="0.35">
      <c r="A524" s="10">
        <v>52225</v>
      </c>
      <c r="B524" s="11" t="s">
        <v>22</v>
      </c>
      <c r="C524" s="11" t="s">
        <v>28</v>
      </c>
    </row>
    <row r="525" spans="1:7" ht="14.5" x14ac:dyDescent="0.35">
      <c r="A525" s="8">
        <v>52232</v>
      </c>
      <c r="B525" s="9" t="s">
        <v>22</v>
      </c>
      <c r="C525" s="9" t="s">
        <v>14</v>
      </c>
    </row>
    <row r="526" spans="1:7" ht="14.5" x14ac:dyDescent="0.35">
      <c r="A526" s="8">
        <v>52271</v>
      </c>
      <c r="B526" s="9" t="s">
        <v>13</v>
      </c>
      <c r="C526" s="9" t="s">
        <v>15</v>
      </c>
    </row>
    <row r="527" spans="1:7" ht="14.5" x14ac:dyDescent="0.35">
      <c r="A527" s="8">
        <v>52272</v>
      </c>
      <c r="B527" s="9" t="s">
        <v>16</v>
      </c>
      <c r="C527" s="9" t="s">
        <v>15</v>
      </c>
    </row>
    <row r="528" spans="1:7" ht="14.5" x14ac:dyDescent="0.35">
      <c r="A528" s="8">
        <v>52317</v>
      </c>
      <c r="B528" s="9" t="s">
        <v>17</v>
      </c>
      <c r="C528" s="9" t="s">
        <v>18</v>
      </c>
    </row>
    <row r="529" spans="1:7" ht="14.5" x14ac:dyDescent="0.35">
      <c r="A529" s="8">
        <v>52342</v>
      </c>
      <c r="B529" s="9" t="s">
        <v>16</v>
      </c>
      <c r="C529" s="9" t="s">
        <v>20</v>
      </c>
    </row>
    <row r="530" spans="1:7" ht="14.5" x14ac:dyDescent="0.35">
      <c r="A530" s="8">
        <v>52352</v>
      </c>
      <c r="B530" s="9" t="s">
        <v>17</v>
      </c>
      <c r="C530" s="9" t="s">
        <v>21</v>
      </c>
    </row>
    <row r="531" spans="1:7" ht="14.5" x14ac:dyDescent="0.35">
      <c r="A531" s="8">
        <v>52379</v>
      </c>
      <c r="B531" s="9" t="s">
        <v>22</v>
      </c>
      <c r="C531" s="9" t="s">
        <v>23</v>
      </c>
    </row>
    <row r="532" spans="1:7" ht="14.5" x14ac:dyDescent="0.35">
      <c r="A532" s="8">
        <v>52481</v>
      </c>
      <c r="B532" s="9" t="s">
        <v>13</v>
      </c>
      <c r="C532" s="9" t="s">
        <v>24</v>
      </c>
    </row>
    <row r="533" spans="1:7" ht="14.5" x14ac:dyDescent="0.35">
      <c r="A533" s="8">
        <v>52516</v>
      </c>
      <c r="B533" s="9" t="s">
        <v>13</v>
      </c>
      <c r="C533" s="9" t="s">
        <v>25</v>
      </c>
    </row>
    <row r="534" spans="1:7" ht="14.5" x14ac:dyDescent="0.35">
      <c r="A534" s="8">
        <v>52537</v>
      </c>
      <c r="B534" s="9" t="s">
        <v>13</v>
      </c>
      <c r="C534" s="9" t="s">
        <v>26</v>
      </c>
    </row>
    <row r="535" spans="1:7" ht="14.5" x14ac:dyDescent="0.35">
      <c r="A535" s="8">
        <v>52550</v>
      </c>
      <c r="B535" s="9" t="s">
        <v>29</v>
      </c>
      <c r="C535" s="9" t="s">
        <v>27</v>
      </c>
    </row>
    <row r="536" spans="1:7" ht="14.5" x14ac:dyDescent="0.35">
      <c r="A536" s="8">
        <v>52555</v>
      </c>
      <c r="B536" s="9" t="s">
        <v>17</v>
      </c>
      <c r="C536" s="9" t="s">
        <v>31</v>
      </c>
      <c r="G536" s="12"/>
    </row>
    <row r="537" spans="1:7" ht="14.5" x14ac:dyDescent="0.35">
      <c r="A537" s="8">
        <v>52590</v>
      </c>
      <c r="B537" s="9" t="s">
        <v>17</v>
      </c>
      <c r="C537" s="9" t="s">
        <v>28</v>
      </c>
    </row>
    <row r="538" spans="1:7" ht="14.5" x14ac:dyDescent="0.35">
      <c r="A538" s="10">
        <v>52597</v>
      </c>
      <c r="B538" s="11" t="s">
        <v>17</v>
      </c>
      <c r="C538" s="11" t="s">
        <v>14</v>
      </c>
    </row>
    <row r="539" spans="1:7" ht="14.5" x14ac:dyDescent="0.35">
      <c r="A539" s="10">
        <v>52656</v>
      </c>
      <c r="B539" s="11" t="s">
        <v>13</v>
      </c>
      <c r="C539" s="11" t="s">
        <v>15</v>
      </c>
    </row>
    <row r="540" spans="1:7" ht="14.5" x14ac:dyDescent="0.35">
      <c r="A540" s="10">
        <v>52657</v>
      </c>
      <c r="B540" s="11" t="s">
        <v>16</v>
      </c>
      <c r="C540" s="11" t="s">
        <v>15</v>
      </c>
    </row>
    <row r="541" spans="1:7" ht="14.5" x14ac:dyDescent="0.35">
      <c r="A541" s="10">
        <v>52702</v>
      </c>
      <c r="B541" s="11" t="s">
        <v>17</v>
      </c>
      <c r="C541" s="11" t="s">
        <v>18</v>
      </c>
    </row>
    <row r="542" spans="1:7" ht="14.5" x14ac:dyDescent="0.35">
      <c r="A542" s="10">
        <v>52708</v>
      </c>
      <c r="B542" s="11" t="s">
        <v>22</v>
      </c>
      <c r="C542" s="11" t="s">
        <v>20</v>
      </c>
    </row>
    <row r="543" spans="1:7" ht="14.5" x14ac:dyDescent="0.35">
      <c r="A543" s="10">
        <v>52718</v>
      </c>
      <c r="B543" s="11" t="s">
        <v>29</v>
      </c>
      <c r="C543" s="11" t="s">
        <v>21</v>
      </c>
    </row>
    <row r="544" spans="1:7" ht="14.5" x14ac:dyDescent="0.35">
      <c r="A544" s="10">
        <v>52764</v>
      </c>
      <c r="B544" s="11" t="s">
        <v>22</v>
      </c>
      <c r="C544" s="11" t="s">
        <v>23</v>
      </c>
    </row>
    <row r="545" spans="1:7" ht="14.5" x14ac:dyDescent="0.35">
      <c r="A545" s="10">
        <v>52847</v>
      </c>
      <c r="B545" s="11" t="s">
        <v>30</v>
      </c>
      <c r="C545" s="11" t="s">
        <v>24</v>
      </c>
    </row>
    <row r="546" spans="1:7" ht="14.5" x14ac:dyDescent="0.35">
      <c r="A546" s="10">
        <v>52882</v>
      </c>
      <c r="B546" s="11" t="s">
        <v>30</v>
      </c>
      <c r="C546" s="11" t="s">
        <v>25</v>
      </c>
    </row>
    <row r="547" spans="1:7" ht="14.5" x14ac:dyDescent="0.35">
      <c r="A547" s="10">
        <v>52903</v>
      </c>
      <c r="B547" s="11" t="s">
        <v>30</v>
      </c>
      <c r="C547" s="11" t="s">
        <v>26</v>
      </c>
    </row>
    <row r="548" spans="1:7" ht="14.5" x14ac:dyDescent="0.35">
      <c r="A548" s="10">
        <v>52916</v>
      </c>
      <c r="B548" s="11" t="s">
        <v>16</v>
      </c>
      <c r="C548" s="11" t="s">
        <v>27</v>
      </c>
    </row>
    <row r="549" spans="1:7" ht="14.5" x14ac:dyDescent="0.35">
      <c r="A549" s="10">
        <v>52921</v>
      </c>
      <c r="B549" s="11" t="s">
        <v>29</v>
      </c>
      <c r="C549" s="11" t="s">
        <v>31</v>
      </c>
      <c r="G549" s="12"/>
    </row>
    <row r="550" spans="1:7" ht="14.5" x14ac:dyDescent="0.35">
      <c r="A550" s="10">
        <v>52956</v>
      </c>
      <c r="B550" s="11" t="s">
        <v>29</v>
      </c>
      <c r="C550" s="11" t="s">
        <v>28</v>
      </c>
    </row>
    <row r="551" spans="1:7" ht="14.5" x14ac:dyDescent="0.35">
      <c r="A551" s="8">
        <v>52963</v>
      </c>
      <c r="B551" s="9" t="s">
        <v>29</v>
      </c>
      <c r="C551" s="9" t="s">
        <v>14</v>
      </c>
    </row>
    <row r="552" spans="1:7" ht="14.5" x14ac:dyDescent="0.35">
      <c r="A552" s="8">
        <v>53013</v>
      </c>
      <c r="B552" s="9" t="s">
        <v>13</v>
      </c>
      <c r="C552" s="9" t="s">
        <v>15</v>
      </c>
    </row>
    <row r="553" spans="1:7" ht="14.5" x14ac:dyDescent="0.35">
      <c r="A553" s="8">
        <v>53014</v>
      </c>
      <c r="B553" s="9" t="s">
        <v>16</v>
      </c>
      <c r="C553" s="9" t="s">
        <v>15</v>
      </c>
    </row>
    <row r="554" spans="1:7" ht="14.5" x14ac:dyDescent="0.35">
      <c r="A554" s="8">
        <v>53059</v>
      </c>
      <c r="B554" s="9" t="s">
        <v>17</v>
      </c>
      <c r="C554" s="9" t="s">
        <v>18</v>
      </c>
    </row>
    <row r="555" spans="1:7" ht="14.5" x14ac:dyDescent="0.35">
      <c r="A555" s="8">
        <v>53073</v>
      </c>
      <c r="B555" s="9" t="s">
        <v>17</v>
      </c>
      <c r="C555" s="9" t="s">
        <v>20</v>
      </c>
    </row>
    <row r="556" spans="1:7" ht="14.5" x14ac:dyDescent="0.35">
      <c r="A556" s="8">
        <v>53083</v>
      </c>
      <c r="B556" s="9" t="s">
        <v>13</v>
      </c>
      <c r="C556" s="9" t="s">
        <v>21</v>
      </c>
    </row>
    <row r="557" spans="1:7" ht="14.5" x14ac:dyDescent="0.35">
      <c r="A557" s="8">
        <v>53121</v>
      </c>
      <c r="B557" s="9" t="s">
        <v>22</v>
      </c>
      <c r="C557" s="9" t="s">
        <v>23</v>
      </c>
    </row>
    <row r="558" spans="1:7" ht="14.5" x14ac:dyDescent="0.35">
      <c r="A558" s="8">
        <v>53212</v>
      </c>
      <c r="B558" s="9" t="s">
        <v>22</v>
      </c>
      <c r="C558" s="9" t="s">
        <v>24</v>
      </c>
    </row>
    <row r="559" spans="1:7" ht="14.5" x14ac:dyDescent="0.35">
      <c r="A559" s="8">
        <v>53247</v>
      </c>
      <c r="B559" s="9" t="s">
        <v>22</v>
      </c>
      <c r="C559" s="9" t="s">
        <v>25</v>
      </c>
    </row>
    <row r="560" spans="1:7" ht="14.5" x14ac:dyDescent="0.35">
      <c r="A560" s="8">
        <v>53268</v>
      </c>
      <c r="B560" s="9" t="s">
        <v>22</v>
      </c>
      <c r="C560" s="9" t="s">
        <v>26</v>
      </c>
    </row>
    <row r="561" spans="1:7" ht="14.5" x14ac:dyDescent="0.35">
      <c r="A561" s="8">
        <v>53281</v>
      </c>
      <c r="B561" s="9" t="s">
        <v>30</v>
      </c>
      <c r="C561" s="9" t="s">
        <v>27</v>
      </c>
    </row>
    <row r="562" spans="1:7" ht="14.5" x14ac:dyDescent="0.35">
      <c r="A562" s="8">
        <v>53286</v>
      </c>
      <c r="B562" s="9" t="s">
        <v>13</v>
      </c>
      <c r="C562" s="9" t="s">
        <v>31</v>
      </c>
      <c r="G562" s="12"/>
    </row>
    <row r="563" spans="1:7" ht="14.5" x14ac:dyDescent="0.35">
      <c r="A563" s="8">
        <v>53321</v>
      </c>
      <c r="B563" s="9" t="s">
        <v>13</v>
      </c>
      <c r="C563" s="9" t="s">
        <v>28</v>
      </c>
    </row>
    <row r="564" spans="1:7" ht="14.5" x14ac:dyDescent="0.35">
      <c r="A564" s="10">
        <v>53328</v>
      </c>
      <c r="B564" s="11" t="s">
        <v>13</v>
      </c>
      <c r="C564" s="11" t="s">
        <v>14</v>
      </c>
    </row>
    <row r="565" spans="1:7" ht="14.5" x14ac:dyDescent="0.35">
      <c r="A565" s="10">
        <v>53363</v>
      </c>
      <c r="B565" s="11" t="s">
        <v>13</v>
      </c>
      <c r="C565" s="11" t="s">
        <v>15</v>
      </c>
    </row>
    <row r="566" spans="1:7" ht="14.5" x14ac:dyDescent="0.35">
      <c r="A566" s="10">
        <v>53364</v>
      </c>
      <c r="B566" s="11" t="s">
        <v>16</v>
      </c>
      <c r="C566" s="11" t="s">
        <v>15</v>
      </c>
    </row>
    <row r="567" spans="1:7" ht="14.5" x14ac:dyDescent="0.35">
      <c r="A567" s="10">
        <v>53409</v>
      </c>
      <c r="B567" s="11" t="s">
        <v>17</v>
      </c>
      <c r="C567" s="11" t="s">
        <v>18</v>
      </c>
    </row>
    <row r="568" spans="1:7" ht="14.5" x14ac:dyDescent="0.35">
      <c r="A568" s="10">
        <v>53438</v>
      </c>
      <c r="B568" s="11" t="s">
        <v>19</v>
      </c>
      <c r="C568" s="11" t="s">
        <v>20</v>
      </c>
    </row>
    <row r="569" spans="1:7" ht="14.5" x14ac:dyDescent="0.35">
      <c r="A569" s="10">
        <v>53448</v>
      </c>
      <c r="B569" s="11" t="s">
        <v>16</v>
      </c>
      <c r="C569" s="11" t="s">
        <v>21</v>
      </c>
    </row>
    <row r="570" spans="1:7" ht="14.5" x14ac:dyDescent="0.35">
      <c r="A570" s="10">
        <v>53471</v>
      </c>
      <c r="B570" s="11" t="s">
        <v>22</v>
      </c>
      <c r="C570" s="11" t="s">
        <v>23</v>
      </c>
    </row>
    <row r="571" spans="1:7" ht="14.5" x14ac:dyDescent="0.35">
      <c r="A571" s="10">
        <v>53577</v>
      </c>
      <c r="B571" s="11" t="s">
        <v>17</v>
      </c>
      <c r="C571" s="11" t="s">
        <v>24</v>
      </c>
    </row>
    <row r="572" spans="1:7" ht="14.5" x14ac:dyDescent="0.35">
      <c r="A572" s="10">
        <v>53612</v>
      </c>
      <c r="B572" s="11" t="s">
        <v>17</v>
      </c>
      <c r="C572" s="11" t="s">
        <v>25</v>
      </c>
    </row>
    <row r="573" spans="1:7" ht="14.5" x14ac:dyDescent="0.35">
      <c r="A573" s="10">
        <v>53633</v>
      </c>
      <c r="B573" s="11" t="s">
        <v>17</v>
      </c>
      <c r="C573" s="11" t="s">
        <v>26</v>
      </c>
    </row>
    <row r="574" spans="1:7" ht="14.5" x14ac:dyDescent="0.35">
      <c r="A574" s="10">
        <v>53646</v>
      </c>
      <c r="B574" s="11" t="s">
        <v>22</v>
      </c>
      <c r="C574" s="11" t="s">
        <v>27</v>
      </c>
    </row>
    <row r="575" spans="1:7" ht="14.5" x14ac:dyDescent="0.35">
      <c r="A575" s="10">
        <v>53651</v>
      </c>
      <c r="B575" s="11" t="s">
        <v>16</v>
      </c>
      <c r="C575" s="11" t="s">
        <v>31</v>
      </c>
      <c r="G575" s="12"/>
    </row>
    <row r="576" spans="1:7" ht="14.5" x14ac:dyDescent="0.35">
      <c r="A576" s="10">
        <v>53686</v>
      </c>
      <c r="B576" s="11" t="s">
        <v>16</v>
      </c>
      <c r="C576" s="11" t="s">
        <v>28</v>
      </c>
    </row>
    <row r="577" spans="1:7" ht="14.5" x14ac:dyDescent="0.35">
      <c r="A577" s="8">
        <v>53693</v>
      </c>
      <c r="B577" s="9" t="s">
        <v>16</v>
      </c>
      <c r="C577" s="9" t="s">
        <v>14</v>
      </c>
    </row>
    <row r="578" spans="1:7" ht="14.5" x14ac:dyDescent="0.35">
      <c r="A578" s="8">
        <v>53748</v>
      </c>
      <c r="B578" s="9" t="s">
        <v>13</v>
      </c>
      <c r="C578" s="9" t="s">
        <v>15</v>
      </c>
    </row>
    <row r="579" spans="1:7" ht="14.5" x14ac:dyDescent="0.35">
      <c r="A579" s="8">
        <v>53749</v>
      </c>
      <c r="B579" s="9" t="s">
        <v>16</v>
      </c>
      <c r="C579" s="9" t="s">
        <v>15</v>
      </c>
    </row>
    <row r="580" spans="1:7" ht="14.5" x14ac:dyDescent="0.35">
      <c r="A580" s="8">
        <v>53794</v>
      </c>
      <c r="B580" s="9" t="s">
        <v>17</v>
      </c>
      <c r="C580" s="9" t="s">
        <v>18</v>
      </c>
    </row>
    <row r="581" spans="1:7" ht="14.5" x14ac:dyDescent="0.35">
      <c r="A581" s="8">
        <v>53803</v>
      </c>
      <c r="B581" s="9" t="s">
        <v>29</v>
      </c>
      <c r="C581" s="9" t="s">
        <v>20</v>
      </c>
    </row>
    <row r="582" spans="1:7" ht="14.5" x14ac:dyDescent="0.35">
      <c r="A582" s="8">
        <v>53813</v>
      </c>
      <c r="B582" s="9" t="s">
        <v>30</v>
      </c>
      <c r="C582" s="9" t="s">
        <v>21</v>
      </c>
    </row>
    <row r="583" spans="1:7" ht="14.5" x14ac:dyDescent="0.35">
      <c r="A583" s="8">
        <v>53856</v>
      </c>
      <c r="B583" s="9" t="s">
        <v>22</v>
      </c>
      <c r="C583" s="9" t="s">
        <v>23</v>
      </c>
    </row>
    <row r="584" spans="1:7" ht="14.5" x14ac:dyDescent="0.35">
      <c r="A584" s="8">
        <v>53942</v>
      </c>
      <c r="B584" s="9" t="s">
        <v>19</v>
      </c>
      <c r="C584" s="9" t="s">
        <v>24</v>
      </c>
    </row>
    <row r="585" spans="1:7" ht="14.5" x14ac:dyDescent="0.35">
      <c r="A585" s="8">
        <v>53977</v>
      </c>
      <c r="B585" s="9" t="s">
        <v>19</v>
      </c>
      <c r="C585" s="9" t="s">
        <v>25</v>
      </c>
    </row>
    <row r="586" spans="1:7" ht="14.5" x14ac:dyDescent="0.35">
      <c r="A586" s="8">
        <v>53998</v>
      </c>
      <c r="B586" s="9" t="s">
        <v>19</v>
      </c>
      <c r="C586" s="9" t="s">
        <v>26</v>
      </c>
    </row>
    <row r="587" spans="1:7" ht="14.5" x14ac:dyDescent="0.35">
      <c r="A587" s="8">
        <v>54011</v>
      </c>
      <c r="B587" s="9" t="s">
        <v>17</v>
      </c>
      <c r="C587" s="9" t="s">
        <v>27</v>
      </c>
    </row>
    <row r="588" spans="1:7" ht="14.5" x14ac:dyDescent="0.35">
      <c r="A588" s="8">
        <v>54016</v>
      </c>
      <c r="B588" s="9" t="s">
        <v>30</v>
      </c>
      <c r="C588" s="9" t="s">
        <v>31</v>
      </c>
      <c r="G588" s="12"/>
    </row>
    <row r="589" spans="1:7" ht="14.5" x14ac:dyDescent="0.35">
      <c r="A589" s="8">
        <v>54051</v>
      </c>
      <c r="B589" s="9" t="s">
        <v>30</v>
      </c>
      <c r="C589" s="9" t="s">
        <v>28</v>
      </c>
    </row>
    <row r="590" spans="1:7" ht="14.5" x14ac:dyDescent="0.35">
      <c r="A590" s="10">
        <v>54058</v>
      </c>
      <c r="B590" s="11" t="s">
        <v>30</v>
      </c>
      <c r="C590" s="11" t="s">
        <v>14</v>
      </c>
    </row>
    <row r="591" spans="1:7" ht="14.5" x14ac:dyDescent="0.35">
      <c r="A591" s="10">
        <v>54105</v>
      </c>
      <c r="B591" s="11" t="s">
        <v>13</v>
      </c>
      <c r="C591" s="11" t="s">
        <v>15</v>
      </c>
    </row>
    <row r="592" spans="1:7" ht="14.5" x14ac:dyDescent="0.35">
      <c r="A592" s="10">
        <v>54106</v>
      </c>
      <c r="B592" s="11" t="s">
        <v>16</v>
      </c>
      <c r="C592" s="11" t="s">
        <v>15</v>
      </c>
    </row>
    <row r="593" spans="1:7" ht="14.5" x14ac:dyDescent="0.35">
      <c r="A593" s="10">
        <v>54151</v>
      </c>
      <c r="B593" s="11" t="s">
        <v>17</v>
      </c>
      <c r="C593" s="11" t="s">
        <v>18</v>
      </c>
    </row>
    <row r="594" spans="1:7" ht="14.5" x14ac:dyDescent="0.35">
      <c r="A594" s="10">
        <v>54169</v>
      </c>
      <c r="B594" s="11" t="s">
        <v>16</v>
      </c>
      <c r="C594" s="11" t="s">
        <v>20</v>
      </c>
    </row>
    <row r="595" spans="1:7" ht="14.5" x14ac:dyDescent="0.35">
      <c r="A595" s="10">
        <v>54179</v>
      </c>
      <c r="B595" s="11" t="s">
        <v>17</v>
      </c>
      <c r="C595" s="11" t="s">
        <v>21</v>
      </c>
    </row>
    <row r="596" spans="1:7" ht="14.5" x14ac:dyDescent="0.35">
      <c r="A596" s="10">
        <v>54213</v>
      </c>
      <c r="B596" s="11" t="s">
        <v>22</v>
      </c>
      <c r="C596" s="11" t="s">
        <v>23</v>
      </c>
    </row>
    <row r="597" spans="1:7" ht="14.5" x14ac:dyDescent="0.35">
      <c r="A597" s="10">
        <v>54308</v>
      </c>
      <c r="B597" s="11" t="s">
        <v>13</v>
      </c>
      <c r="C597" s="11" t="s">
        <v>24</v>
      </c>
    </row>
    <row r="598" spans="1:7" ht="14.5" x14ac:dyDescent="0.35">
      <c r="A598" s="10">
        <v>54343</v>
      </c>
      <c r="B598" s="11" t="s">
        <v>13</v>
      </c>
      <c r="C598" s="11" t="s">
        <v>25</v>
      </c>
    </row>
    <row r="599" spans="1:7" ht="14.5" x14ac:dyDescent="0.35">
      <c r="A599" s="10">
        <v>54364</v>
      </c>
      <c r="B599" s="11" t="s">
        <v>13</v>
      </c>
      <c r="C599" s="11" t="s">
        <v>26</v>
      </c>
    </row>
    <row r="600" spans="1:7" ht="14.5" x14ac:dyDescent="0.35">
      <c r="A600" s="10">
        <v>54377</v>
      </c>
      <c r="B600" s="11" t="s">
        <v>29</v>
      </c>
      <c r="C600" s="11" t="s">
        <v>27</v>
      </c>
    </row>
    <row r="601" spans="1:7" ht="14.5" x14ac:dyDescent="0.35">
      <c r="A601" s="10">
        <v>54382</v>
      </c>
      <c r="B601" s="11" t="s">
        <v>17</v>
      </c>
      <c r="C601" s="11" t="s">
        <v>31</v>
      </c>
      <c r="G601" s="12"/>
    </row>
    <row r="602" spans="1:7" ht="14.5" x14ac:dyDescent="0.35">
      <c r="A602" s="10">
        <v>54417</v>
      </c>
      <c r="B602" s="11" t="s">
        <v>17</v>
      </c>
      <c r="C602" s="11" t="s">
        <v>28</v>
      </c>
    </row>
    <row r="603" spans="1:7" ht="14.5" x14ac:dyDescent="0.35">
      <c r="A603" s="8">
        <v>54424</v>
      </c>
      <c r="B603" s="9" t="s">
        <v>17</v>
      </c>
      <c r="C603" s="9" t="s">
        <v>14</v>
      </c>
    </row>
    <row r="604" spans="1:7" ht="14.5" x14ac:dyDescent="0.35">
      <c r="A604" s="8">
        <v>54483</v>
      </c>
      <c r="B604" s="9" t="s">
        <v>13</v>
      </c>
      <c r="C604" s="9" t="s">
        <v>15</v>
      </c>
    </row>
    <row r="605" spans="1:7" ht="14.5" x14ac:dyDescent="0.35">
      <c r="A605" s="8">
        <v>54484</v>
      </c>
      <c r="B605" s="9" t="s">
        <v>16</v>
      </c>
      <c r="C605" s="9" t="s">
        <v>15</v>
      </c>
    </row>
    <row r="606" spans="1:7" ht="14.5" x14ac:dyDescent="0.35">
      <c r="A606" s="8">
        <v>54529</v>
      </c>
      <c r="B606" s="9" t="s">
        <v>17</v>
      </c>
      <c r="C606" s="9" t="s">
        <v>18</v>
      </c>
    </row>
    <row r="607" spans="1:7" ht="14.5" x14ac:dyDescent="0.35">
      <c r="A607" s="8">
        <v>54534</v>
      </c>
      <c r="B607" s="9" t="s">
        <v>30</v>
      </c>
      <c r="C607" s="9" t="s">
        <v>20</v>
      </c>
    </row>
    <row r="608" spans="1:7" ht="14.5" x14ac:dyDescent="0.35">
      <c r="A608" s="8">
        <v>54544</v>
      </c>
      <c r="B608" s="9" t="s">
        <v>19</v>
      </c>
      <c r="C608" s="9" t="s">
        <v>21</v>
      </c>
    </row>
    <row r="609" spans="1:7" ht="14.5" x14ac:dyDescent="0.35">
      <c r="A609" s="8">
        <v>54591</v>
      </c>
      <c r="B609" s="9" t="s">
        <v>22</v>
      </c>
      <c r="C609" s="9" t="s">
        <v>23</v>
      </c>
    </row>
    <row r="610" spans="1:7" ht="14.5" x14ac:dyDescent="0.35">
      <c r="A610" s="8">
        <v>54673</v>
      </c>
      <c r="B610" s="9" t="s">
        <v>16</v>
      </c>
      <c r="C610" s="9" t="s">
        <v>24</v>
      </c>
    </row>
    <row r="611" spans="1:7" ht="14.5" x14ac:dyDescent="0.35">
      <c r="A611" s="8">
        <v>54708</v>
      </c>
      <c r="B611" s="9" t="s">
        <v>16</v>
      </c>
      <c r="C611" s="9" t="s">
        <v>25</v>
      </c>
    </row>
    <row r="612" spans="1:7" ht="14.5" x14ac:dyDescent="0.35">
      <c r="A612" s="8">
        <v>54729</v>
      </c>
      <c r="B612" s="9" t="s">
        <v>16</v>
      </c>
      <c r="C612" s="9" t="s">
        <v>26</v>
      </c>
    </row>
    <row r="613" spans="1:7" ht="14.5" x14ac:dyDescent="0.35">
      <c r="A613" s="8">
        <v>54742</v>
      </c>
      <c r="B613" s="9" t="s">
        <v>13</v>
      </c>
      <c r="C613" s="9" t="s">
        <v>27</v>
      </c>
    </row>
    <row r="614" spans="1:7" ht="14.5" x14ac:dyDescent="0.35">
      <c r="A614" s="8">
        <v>54747</v>
      </c>
      <c r="B614" s="9" t="s">
        <v>19</v>
      </c>
      <c r="C614" s="9" t="s">
        <v>31</v>
      </c>
      <c r="G614" s="12"/>
    </row>
    <row r="615" spans="1:7" ht="14.5" x14ac:dyDescent="0.35">
      <c r="A615" s="8">
        <v>54782</v>
      </c>
      <c r="B615" s="9" t="s">
        <v>19</v>
      </c>
      <c r="C615" s="9" t="s">
        <v>28</v>
      </c>
    </row>
    <row r="616" spans="1:7" ht="14.5" x14ac:dyDescent="0.35">
      <c r="A616" s="10">
        <v>54789</v>
      </c>
      <c r="B616" s="11" t="s">
        <v>19</v>
      </c>
      <c r="C616" s="11" t="s">
        <v>14</v>
      </c>
    </row>
    <row r="617" spans="1:7" ht="14.5" x14ac:dyDescent="0.35">
      <c r="A617" s="10">
        <v>54840</v>
      </c>
      <c r="B617" s="11" t="s">
        <v>13</v>
      </c>
      <c r="C617" s="11" t="s">
        <v>15</v>
      </c>
    </row>
    <row r="618" spans="1:7" ht="14.5" x14ac:dyDescent="0.35">
      <c r="A618" s="10">
        <v>54841</v>
      </c>
      <c r="B618" s="11" t="s">
        <v>16</v>
      </c>
      <c r="C618" s="11" t="s">
        <v>15</v>
      </c>
    </row>
    <row r="619" spans="1:7" ht="14.5" x14ac:dyDescent="0.35">
      <c r="A619" s="10">
        <v>54886</v>
      </c>
      <c r="B619" s="11" t="s">
        <v>17</v>
      </c>
      <c r="C619" s="11" t="s">
        <v>18</v>
      </c>
    </row>
    <row r="620" spans="1:7" ht="14.5" x14ac:dyDescent="0.35">
      <c r="A620" s="10">
        <v>54899</v>
      </c>
      <c r="B620" s="11" t="s">
        <v>22</v>
      </c>
      <c r="C620" s="11" t="s">
        <v>20</v>
      </c>
    </row>
    <row r="621" spans="1:7" ht="14.5" x14ac:dyDescent="0.35">
      <c r="A621" s="10">
        <v>54909</v>
      </c>
      <c r="B621" s="11" t="s">
        <v>29</v>
      </c>
      <c r="C621" s="11" t="s">
        <v>21</v>
      </c>
    </row>
    <row r="622" spans="1:7" ht="14.5" x14ac:dyDescent="0.35">
      <c r="A622" s="10">
        <v>54948</v>
      </c>
      <c r="B622" s="11" t="s">
        <v>22</v>
      </c>
      <c r="C622" s="11" t="s">
        <v>23</v>
      </c>
    </row>
    <row r="623" spans="1:7" ht="14.5" x14ac:dyDescent="0.35">
      <c r="A623" s="10">
        <v>55038</v>
      </c>
      <c r="B623" s="11" t="s">
        <v>30</v>
      </c>
      <c r="C623" s="11" t="s">
        <v>24</v>
      </c>
    </row>
    <row r="624" spans="1:7" ht="14.5" x14ac:dyDescent="0.35">
      <c r="A624" s="10">
        <v>55073</v>
      </c>
      <c r="B624" s="11" t="s">
        <v>30</v>
      </c>
      <c r="C624" s="11" t="s">
        <v>25</v>
      </c>
    </row>
    <row r="625" spans="1:7" ht="14.5" x14ac:dyDescent="0.35">
      <c r="A625" s="10">
        <v>55094</v>
      </c>
      <c r="B625" s="11" t="s">
        <v>30</v>
      </c>
      <c r="C625" s="11" t="s">
        <v>26</v>
      </c>
    </row>
    <row r="626" spans="1:7" ht="14.5" x14ac:dyDescent="0.35">
      <c r="A626" s="10">
        <v>55107</v>
      </c>
      <c r="B626" s="11" t="s">
        <v>16</v>
      </c>
      <c r="C626" s="11" t="s">
        <v>27</v>
      </c>
    </row>
    <row r="627" spans="1:7" ht="14.5" x14ac:dyDescent="0.35">
      <c r="A627" s="10">
        <v>55112</v>
      </c>
      <c r="B627" s="11" t="s">
        <v>29</v>
      </c>
      <c r="C627" s="11" t="s">
        <v>31</v>
      </c>
      <c r="G627" s="12"/>
    </row>
    <row r="628" spans="1:7" ht="14.5" x14ac:dyDescent="0.35">
      <c r="A628" s="10">
        <v>55147</v>
      </c>
      <c r="B628" s="11" t="s">
        <v>29</v>
      </c>
      <c r="C628" s="11" t="s">
        <v>28</v>
      </c>
    </row>
    <row r="629" spans="1:7" ht="14.5" x14ac:dyDescent="0.35">
      <c r="A629" s="8">
        <v>55154</v>
      </c>
      <c r="B629" s="9" t="s">
        <v>29</v>
      </c>
      <c r="C629" s="9" t="s">
        <v>14</v>
      </c>
    </row>
    <row r="630" spans="1:7" ht="14.5" x14ac:dyDescent="0.35">
      <c r="A630" s="8">
        <v>55197</v>
      </c>
      <c r="B630" s="9" t="s">
        <v>13</v>
      </c>
      <c r="C630" s="9" t="s">
        <v>15</v>
      </c>
    </row>
    <row r="631" spans="1:7" ht="14.5" x14ac:dyDescent="0.35">
      <c r="A631" s="8">
        <v>55198</v>
      </c>
      <c r="B631" s="9" t="s">
        <v>16</v>
      </c>
      <c r="C631" s="9" t="s">
        <v>15</v>
      </c>
    </row>
    <row r="632" spans="1:7" ht="14.5" x14ac:dyDescent="0.35">
      <c r="A632" s="8">
        <v>55243</v>
      </c>
      <c r="B632" s="9" t="s">
        <v>17</v>
      </c>
      <c r="C632" s="9" t="s">
        <v>18</v>
      </c>
    </row>
    <row r="633" spans="1:7" ht="14.5" x14ac:dyDescent="0.35">
      <c r="A633" s="8">
        <v>55264</v>
      </c>
      <c r="B633" s="9" t="s">
        <v>17</v>
      </c>
      <c r="C633" s="9" t="s">
        <v>20</v>
      </c>
    </row>
    <row r="634" spans="1:7" ht="14.5" x14ac:dyDescent="0.35">
      <c r="A634" s="8">
        <v>55274</v>
      </c>
      <c r="B634" s="9" t="s">
        <v>13</v>
      </c>
      <c r="C634" s="9" t="s">
        <v>21</v>
      </c>
    </row>
    <row r="635" spans="1:7" ht="14.5" x14ac:dyDescent="0.35">
      <c r="A635" s="8">
        <v>55305</v>
      </c>
      <c r="B635" s="9" t="s">
        <v>22</v>
      </c>
      <c r="C635" s="9" t="s">
        <v>23</v>
      </c>
    </row>
    <row r="636" spans="1:7" ht="14.5" x14ac:dyDescent="0.35">
      <c r="A636" s="8">
        <v>55403</v>
      </c>
      <c r="B636" s="9" t="s">
        <v>22</v>
      </c>
      <c r="C636" s="9" t="s">
        <v>24</v>
      </c>
    </row>
    <row r="637" spans="1:7" ht="14.5" x14ac:dyDescent="0.35">
      <c r="A637" s="8">
        <v>55438</v>
      </c>
      <c r="B637" s="9" t="s">
        <v>22</v>
      </c>
      <c r="C637" s="9" t="s">
        <v>25</v>
      </c>
    </row>
    <row r="638" spans="1:7" ht="14.5" x14ac:dyDescent="0.35">
      <c r="A638" s="8">
        <v>55459</v>
      </c>
      <c r="B638" s="9" t="s">
        <v>22</v>
      </c>
      <c r="C638" s="9" t="s">
        <v>26</v>
      </c>
    </row>
    <row r="639" spans="1:7" ht="14.5" x14ac:dyDescent="0.35">
      <c r="A639" s="8">
        <v>55472</v>
      </c>
      <c r="B639" s="9" t="s">
        <v>30</v>
      </c>
      <c r="C639" s="9" t="s">
        <v>27</v>
      </c>
    </row>
    <row r="640" spans="1:7" ht="14.5" x14ac:dyDescent="0.35">
      <c r="A640" s="8">
        <v>55477</v>
      </c>
      <c r="B640" s="9" t="s">
        <v>13</v>
      </c>
      <c r="C640" s="9" t="s">
        <v>31</v>
      </c>
      <c r="G640" s="12"/>
    </row>
    <row r="641" spans="1:7" ht="14.5" x14ac:dyDescent="0.35">
      <c r="A641" s="8">
        <v>55512</v>
      </c>
      <c r="B641" s="9" t="s">
        <v>13</v>
      </c>
      <c r="C641" s="9" t="s">
        <v>28</v>
      </c>
    </row>
    <row r="642" spans="1:7" ht="14.5" x14ac:dyDescent="0.35">
      <c r="A642" s="10">
        <v>55519</v>
      </c>
      <c r="B642" s="11" t="s">
        <v>13</v>
      </c>
      <c r="C642" s="11" t="s">
        <v>14</v>
      </c>
    </row>
    <row r="643" spans="1:7" ht="14.5" x14ac:dyDescent="0.35">
      <c r="A643" s="10">
        <v>55582</v>
      </c>
      <c r="B643" s="11" t="s">
        <v>13</v>
      </c>
      <c r="C643" s="11" t="s">
        <v>15</v>
      </c>
    </row>
    <row r="644" spans="1:7" ht="14.5" x14ac:dyDescent="0.35">
      <c r="A644" s="10">
        <v>55583</v>
      </c>
      <c r="B644" s="11" t="s">
        <v>16</v>
      </c>
      <c r="C644" s="11" t="s">
        <v>15</v>
      </c>
    </row>
    <row r="645" spans="1:7" ht="14.5" x14ac:dyDescent="0.35">
      <c r="A645" s="10">
        <v>55628</v>
      </c>
      <c r="B645" s="11" t="s">
        <v>17</v>
      </c>
      <c r="C645" s="11" t="s">
        <v>18</v>
      </c>
    </row>
    <row r="646" spans="1:7" ht="14.5" x14ac:dyDescent="0.35">
      <c r="A646" s="10">
        <v>55630</v>
      </c>
      <c r="B646" s="11" t="s">
        <v>29</v>
      </c>
      <c r="C646" s="11" t="s">
        <v>20</v>
      </c>
    </row>
    <row r="647" spans="1:7" ht="14.5" x14ac:dyDescent="0.35">
      <c r="A647" s="10">
        <v>55640</v>
      </c>
      <c r="B647" s="11" t="s">
        <v>30</v>
      </c>
      <c r="C647" s="11" t="s">
        <v>21</v>
      </c>
    </row>
    <row r="648" spans="1:7" ht="14.5" x14ac:dyDescent="0.35">
      <c r="A648" s="10">
        <v>55690</v>
      </c>
      <c r="B648" s="11" t="s">
        <v>22</v>
      </c>
      <c r="C648" s="11" t="s">
        <v>23</v>
      </c>
    </row>
    <row r="649" spans="1:7" ht="14.5" x14ac:dyDescent="0.35">
      <c r="A649" s="10">
        <v>55769</v>
      </c>
      <c r="B649" s="11" t="s">
        <v>19</v>
      </c>
      <c r="C649" s="11" t="s">
        <v>24</v>
      </c>
    </row>
    <row r="650" spans="1:7" ht="14.5" x14ac:dyDescent="0.35">
      <c r="A650" s="10">
        <v>55804</v>
      </c>
      <c r="B650" s="11" t="s">
        <v>19</v>
      </c>
      <c r="C650" s="11" t="s">
        <v>25</v>
      </c>
    </row>
    <row r="651" spans="1:7" ht="14.5" x14ac:dyDescent="0.35">
      <c r="A651" s="10">
        <v>55825</v>
      </c>
      <c r="B651" s="11" t="s">
        <v>19</v>
      </c>
      <c r="C651" s="11" t="s">
        <v>26</v>
      </c>
    </row>
    <row r="652" spans="1:7" ht="14.5" x14ac:dyDescent="0.35">
      <c r="A652" s="10">
        <v>55838</v>
      </c>
      <c r="B652" s="11" t="s">
        <v>17</v>
      </c>
      <c r="C652" s="11" t="s">
        <v>27</v>
      </c>
    </row>
    <row r="653" spans="1:7" ht="14.5" x14ac:dyDescent="0.35">
      <c r="A653" s="10">
        <v>55843</v>
      </c>
      <c r="B653" s="11" t="s">
        <v>30</v>
      </c>
      <c r="C653" s="11" t="s">
        <v>31</v>
      </c>
      <c r="G653" s="12"/>
    </row>
    <row r="654" spans="1:7" ht="14.5" x14ac:dyDescent="0.35">
      <c r="A654" s="10">
        <v>55878</v>
      </c>
      <c r="B654" s="11" t="s">
        <v>30</v>
      </c>
      <c r="C654" s="11" t="s">
        <v>28</v>
      </c>
    </row>
    <row r="655" spans="1:7" ht="14.5" x14ac:dyDescent="0.35">
      <c r="A655" s="8">
        <v>55885</v>
      </c>
      <c r="B655" s="9" t="s">
        <v>30</v>
      </c>
      <c r="C655" s="9" t="s">
        <v>14</v>
      </c>
    </row>
    <row r="656" spans="1:7" ht="14.5" x14ac:dyDescent="0.35">
      <c r="A656" s="8">
        <v>55932</v>
      </c>
      <c r="B656" s="9" t="s">
        <v>13</v>
      </c>
      <c r="C656" s="9" t="s">
        <v>15</v>
      </c>
    </row>
    <row r="657" spans="1:7" ht="14.5" x14ac:dyDescent="0.35">
      <c r="A657" s="8">
        <v>55933</v>
      </c>
      <c r="B657" s="9" t="s">
        <v>16</v>
      </c>
      <c r="C657" s="9" t="s">
        <v>15</v>
      </c>
    </row>
    <row r="658" spans="1:7" ht="14.5" x14ac:dyDescent="0.35">
      <c r="A658" s="8">
        <v>55978</v>
      </c>
      <c r="B658" s="9" t="s">
        <v>17</v>
      </c>
      <c r="C658" s="9" t="s">
        <v>18</v>
      </c>
    </row>
    <row r="659" spans="1:7" ht="14.5" x14ac:dyDescent="0.35">
      <c r="A659" s="8">
        <v>55995</v>
      </c>
      <c r="B659" s="9" t="s">
        <v>13</v>
      </c>
      <c r="C659" s="9" t="s">
        <v>20</v>
      </c>
    </row>
    <row r="660" spans="1:7" ht="14.5" x14ac:dyDescent="0.35">
      <c r="A660" s="8">
        <v>56005</v>
      </c>
      <c r="B660" s="9" t="s">
        <v>22</v>
      </c>
      <c r="C660" s="9" t="s">
        <v>21</v>
      </c>
    </row>
    <row r="661" spans="1:7" ht="14.5" x14ac:dyDescent="0.35">
      <c r="A661" s="8">
        <v>56040</v>
      </c>
      <c r="B661" s="9" t="s">
        <v>22</v>
      </c>
      <c r="C661" s="9" t="s">
        <v>23</v>
      </c>
    </row>
    <row r="662" spans="1:7" ht="14.5" x14ac:dyDescent="0.35">
      <c r="A662" s="8">
        <v>56134</v>
      </c>
      <c r="B662" s="9" t="s">
        <v>29</v>
      </c>
      <c r="C662" s="9" t="s">
        <v>24</v>
      </c>
    </row>
    <row r="663" spans="1:7" ht="14.5" x14ac:dyDescent="0.35">
      <c r="A663" s="8">
        <v>56169</v>
      </c>
      <c r="B663" s="9" t="s">
        <v>29</v>
      </c>
      <c r="C663" s="9" t="s">
        <v>25</v>
      </c>
    </row>
    <row r="664" spans="1:7" ht="14.5" x14ac:dyDescent="0.35">
      <c r="A664" s="8">
        <v>56190</v>
      </c>
      <c r="B664" s="9" t="s">
        <v>29</v>
      </c>
      <c r="C664" s="9" t="s">
        <v>26</v>
      </c>
    </row>
    <row r="665" spans="1:7" ht="14.5" x14ac:dyDescent="0.35">
      <c r="A665" s="8">
        <v>56203</v>
      </c>
      <c r="B665" s="9" t="s">
        <v>19</v>
      </c>
      <c r="C665" s="9" t="s">
        <v>27</v>
      </c>
    </row>
    <row r="666" spans="1:7" ht="14.5" x14ac:dyDescent="0.35">
      <c r="A666" s="8">
        <v>56208</v>
      </c>
      <c r="B666" s="9" t="s">
        <v>22</v>
      </c>
      <c r="C666" s="9" t="s">
        <v>31</v>
      </c>
      <c r="G666" s="12"/>
    </row>
    <row r="667" spans="1:7" ht="14.5" x14ac:dyDescent="0.35">
      <c r="A667" s="8">
        <v>56243</v>
      </c>
      <c r="B667" s="9" t="s">
        <v>22</v>
      </c>
      <c r="C667" s="9" t="s">
        <v>28</v>
      </c>
    </row>
    <row r="668" spans="1:7" ht="14.5" x14ac:dyDescent="0.35">
      <c r="A668" s="10">
        <v>56250</v>
      </c>
      <c r="B668" s="11" t="s">
        <v>22</v>
      </c>
      <c r="C668" s="11" t="s">
        <v>14</v>
      </c>
    </row>
    <row r="669" spans="1:7" ht="14.5" x14ac:dyDescent="0.35">
      <c r="A669" s="10">
        <v>56289</v>
      </c>
      <c r="B669" s="11" t="s">
        <v>13</v>
      </c>
      <c r="C669" s="11" t="s">
        <v>15</v>
      </c>
    </row>
    <row r="670" spans="1:7" ht="14.5" x14ac:dyDescent="0.35">
      <c r="A670" s="10">
        <v>56290</v>
      </c>
      <c r="B670" s="11" t="s">
        <v>16</v>
      </c>
      <c r="C670" s="11" t="s">
        <v>15</v>
      </c>
    </row>
    <row r="671" spans="1:7" ht="14.5" x14ac:dyDescent="0.35">
      <c r="A671" s="10">
        <v>56335</v>
      </c>
      <c r="B671" s="11" t="s">
        <v>17</v>
      </c>
      <c r="C671" s="11" t="s">
        <v>18</v>
      </c>
    </row>
    <row r="672" spans="1:7" ht="14.5" x14ac:dyDescent="0.35">
      <c r="A672" s="10">
        <v>56360</v>
      </c>
      <c r="B672" s="11" t="s">
        <v>16</v>
      </c>
      <c r="C672" s="11" t="s">
        <v>20</v>
      </c>
    </row>
    <row r="673" spans="1:7" ht="14.5" x14ac:dyDescent="0.35">
      <c r="A673" s="10">
        <v>56370</v>
      </c>
      <c r="B673" s="11" t="s">
        <v>17</v>
      </c>
      <c r="C673" s="11" t="s">
        <v>21</v>
      </c>
    </row>
    <row r="674" spans="1:7" ht="14.5" x14ac:dyDescent="0.35">
      <c r="A674" s="10">
        <v>56397</v>
      </c>
      <c r="B674" s="11" t="s">
        <v>22</v>
      </c>
      <c r="C674" s="11" t="s">
        <v>23</v>
      </c>
    </row>
    <row r="675" spans="1:7" ht="14.5" x14ac:dyDescent="0.35">
      <c r="A675" s="10">
        <v>56499</v>
      </c>
      <c r="B675" s="11" t="s">
        <v>13</v>
      </c>
      <c r="C675" s="11" t="s">
        <v>24</v>
      </c>
    </row>
    <row r="676" spans="1:7" ht="14.5" x14ac:dyDescent="0.35">
      <c r="A676" s="10">
        <v>56534</v>
      </c>
      <c r="B676" s="11" t="s">
        <v>13</v>
      </c>
      <c r="C676" s="11" t="s">
        <v>25</v>
      </c>
    </row>
    <row r="677" spans="1:7" ht="14.5" x14ac:dyDescent="0.35">
      <c r="A677" s="10">
        <v>56555</v>
      </c>
      <c r="B677" s="11" t="s">
        <v>13</v>
      </c>
      <c r="C677" s="11" t="s">
        <v>26</v>
      </c>
    </row>
    <row r="678" spans="1:7" ht="14.5" x14ac:dyDescent="0.35">
      <c r="A678" s="10">
        <v>56568</v>
      </c>
      <c r="B678" s="11" t="s">
        <v>29</v>
      </c>
      <c r="C678" s="11" t="s">
        <v>27</v>
      </c>
    </row>
    <row r="679" spans="1:7" ht="14.5" x14ac:dyDescent="0.35">
      <c r="A679" s="10">
        <v>56573</v>
      </c>
      <c r="B679" s="11" t="s">
        <v>17</v>
      </c>
      <c r="C679" s="11" t="s">
        <v>31</v>
      </c>
      <c r="G679" s="12"/>
    </row>
    <row r="680" spans="1:7" ht="14.5" x14ac:dyDescent="0.35">
      <c r="A680" s="10">
        <v>56608</v>
      </c>
      <c r="B680" s="11" t="s">
        <v>17</v>
      </c>
      <c r="C680" s="11" t="s">
        <v>28</v>
      </c>
    </row>
    <row r="681" spans="1:7" ht="14.5" x14ac:dyDescent="0.35">
      <c r="A681" s="8">
        <v>56615</v>
      </c>
      <c r="B681" s="9" t="s">
        <v>17</v>
      </c>
      <c r="C681" s="9" t="s">
        <v>14</v>
      </c>
    </row>
    <row r="682" spans="1:7" ht="14.5" x14ac:dyDescent="0.35">
      <c r="A682" s="8">
        <v>56674</v>
      </c>
      <c r="B682" s="9" t="s">
        <v>13</v>
      </c>
      <c r="C682" s="9" t="s">
        <v>15</v>
      </c>
    </row>
    <row r="683" spans="1:7" ht="14.5" x14ac:dyDescent="0.35">
      <c r="A683" s="8">
        <v>56675</v>
      </c>
      <c r="B683" s="9" t="s">
        <v>16</v>
      </c>
      <c r="C683" s="9" t="s">
        <v>15</v>
      </c>
    </row>
    <row r="684" spans="1:7" ht="14.5" x14ac:dyDescent="0.35">
      <c r="A684" s="8">
        <v>56720</v>
      </c>
      <c r="B684" s="9" t="s">
        <v>17</v>
      </c>
      <c r="C684" s="9" t="s">
        <v>18</v>
      </c>
    </row>
    <row r="685" spans="1:7" ht="14.5" x14ac:dyDescent="0.35">
      <c r="A685" s="8">
        <v>56725</v>
      </c>
      <c r="B685" s="9" t="s">
        <v>30</v>
      </c>
      <c r="C685" s="9" t="s">
        <v>20</v>
      </c>
    </row>
    <row r="686" spans="1:7" ht="14.5" x14ac:dyDescent="0.35">
      <c r="A686" s="8">
        <v>56735</v>
      </c>
      <c r="B686" s="9" t="s">
        <v>19</v>
      </c>
      <c r="C686" s="9" t="s">
        <v>21</v>
      </c>
    </row>
    <row r="687" spans="1:7" ht="14.5" x14ac:dyDescent="0.35">
      <c r="A687" s="8">
        <v>56782</v>
      </c>
      <c r="B687" s="9" t="s">
        <v>22</v>
      </c>
      <c r="C687" s="9" t="s">
        <v>23</v>
      </c>
    </row>
    <row r="688" spans="1:7" ht="14.5" x14ac:dyDescent="0.35">
      <c r="A688" s="8">
        <v>56864</v>
      </c>
      <c r="B688" s="9" t="s">
        <v>16</v>
      </c>
      <c r="C688" s="9" t="s">
        <v>24</v>
      </c>
    </row>
    <row r="689" spans="1:7" ht="14.5" x14ac:dyDescent="0.35">
      <c r="A689" s="8">
        <v>56899</v>
      </c>
      <c r="B689" s="9" t="s">
        <v>16</v>
      </c>
      <c r="C689" s="9" t="s">
        <v>25</v>
      </c>
    </row>
    <row r="690" spans="1:7" ht="14.5" x14ac:dyDescent="0.35">
      <c r="A690" s="8">
        <v>56920</v>
      </c>
      <c r="B690" s="9" t="s">
        <v>16</v>
      </c>
      <c r="C690" s="9" t="s">
        <v>26</v>
      </c>
    </row>
    <row r="691" spans="1:7" ht="14.5" x14ac:dyDescent="0.35">
      <c r="A691" s="8">
        <v>56933</v>
      </c>
      <c r="B691" s="9" t="s">
        <v>13</v>
      </c>
      <c r="C691" s="9" t="s">
        <v>27</v>
      </c>
    </row>
    <row r="692" spans="1:7" ht="14.5" x14ac:dyDescent="0.35">
      <c r="A692" s="8">
        <v>56938</v>
      </c>
      <c r="B692" s="9" t="s">
        <v>19</v>
      </c>
      <c r="C692" s="9" t="s">
        <v>31</v>
      </c>
      <c r="G692" s="12"/>
    </row>
    <row r="693" spans="1:7" ht="14.5" x14ac:dyDescent="0.35">
      <c r="A693" s="8">
        <v>56973</v>
      </c>
      <c r="B693" s="9" t="s">
        <v>19</v>
      </c>
      <c r="C693" s="9" t="s">
        <v>28</v>
      </c>
    </row>
    <row r="694" spans="1:7" ht="14.5" x14ac:dyDescent="0.35">
      <c r="A694" s="10">
        <v>56980</v>
      </c>
      <c r="B694" s="11" t="s">
        <v>19</v>
      </c>
      <c r="C694" s="11" t="s">
        <v>14</v>
      </c>
    </row>
    <row r="695" spans="1:7" ht="14.5" x14ac:dyDescent="0.35">
      <c r="A695" s="10">
        <v>57024</v>
      </c>
      <c r="B695" s="11" t="s">
        <v>13</v>
      </c>
      <c r="C695" s="11" t="s">
        <v>15</v>
      </c>
    </row>
    <row r="696" spans="1:7" ht="14.5" x14ac:dyDescent="0.35">
      <c r="A696" s="10">
        <v>57025</v>
      </c>
      <c r="B696" s="11" t="s">
        <v>16</v>
      </c>
      <c r="C696" s="11" t="s">
        <v>15</v>
      </c>
    </row>
    <row r="697" spans="1:7" ht="14.5" x14ac:dyDescent="0.35">
      <c r="A697" s="10">
        <v>57070</v>
      </c>
      <c r="B697" s="11" t="s">
        <v>17</v>
      </c>
      <c r="C697" s="11" t="s">
        <v>18</v>
      </c>
    </row>
    <row r="698" spans="1:7" ht="14.5" x14ac:dyDescent="0.35">
      <c r="A698" s="10">
        <v>57091</v>
      </c>
      <c r="B698" s="11" t="s">
        <v>17</v>
      </c>
      <c r="C698" s="11" t="s">
        <v>20</v>
      </c>
    </row>
    <row r="699" spans="1:7" ht="14.5" x14ac:dyDescent="0.35">
      <c r="A699" s="10">
        <v>57101</v>
      </c>
      <c r="B699" s="11" t="s">
        <v>13</v>
      </c>
      <c r="C699" s="11" t="s">
        <v>21</v>
      </c>
    </row>
    <row r="700" spans="1:7" ht="14.5" x14ac:dyDescent="0.35">
      <c r="A700" s="10">
        <v>57132</v>
      </c>
      <c r="B700" s="11" t="s">
        <v>22</v>
      </c>
      <c r="C700" s="11" t="s">
        <v>23</v>
      </c>
    </row>
    <row r="701" spans="1:7" ht="14.5" x14ac:dyDescent="0.35">
      <c r="A701" s="10">
        <v>57230</v>
      </c>
      <c r="B701" s="11" t="s">
        <v>22</v>
      </c>
      <c r="C701" s="11" t="s">
        <v>24</v>
      </c>
    </row>
    <row r="702" spans="1:7" ht="14.5" x14ac:dyDescent="0.35">
      <c r="A702" s="10">
        <v>57265</v>
      </c>
      <c r="B702" s="11" t="s">
        <v>22</v>
      </c>
      <c r="C702" s="11" t="s">
        <v>25</v>
      </c>
    </row>
    <row r="703" spans="1:7" ht="14.5" x14ac:dyDescent="0.35">
      <c r="A703" s="10">
        <v>57286</v>
      </c>
      <c r="B703" s="11" t="s">
        <v>22</v>
      </c>
      <c r="C703" s="11" t="s">
        <v>26</v>
      </c>
    </row>
    <row r="704" spans="1:7" ht="14.5" x14ac:dyDescent="0.35">
      <c r="A704" s="10">
        <v>57299</v>
      </c>
      <c r="B704" s="11" t="s">
        <v>30</v>
      </c>
      <c r="C704" s="11" t="s">
        <v>27</v>
      </c>
    </row>
    <row r="705" spans="1:7" ht="14.5" x14ac:dyDescent="0.35">
      <c r="A705" s="10">
        <v>57304</v>
      </c>
      <c r="B705" s="11" t="s">
        <v>13</v>
      </c>
      <c r="C705" s="11" t="s">
        <v>31</v>
      </c>
      <c r="G705" s="12"/>
    </row>
    <row r="706" spans="1:7" ht="14.5" x14ac:dyDescent="0.35">
      <c r="A706" s="10">
        <v>57339</v>
      </c>
      <c r="B706" s="11" t="s">
        <v>13</v>
      </c>
      <c r="C706" s="11" t="s">
        <v>28</v>
      </c>
    </row>
    <row r="707" spans="1:7" ht="14.5" x14ac:dyDescent="0.35">
      <c r="A707" s="8">
        <v>57346</v>
      </c>
      <c r="B707" s="9" t="s">
        <v>13</v>
      </c>
      <c r="C707" s="9" t="s">
        <v>14</v>
      </c>
    </row>
    <row r="708" spans="1:7" ht="14.5" x14ac:dyDescent="0.35">
      <c r="A708" s="8">
        <v>57409</v>
      </c>
      <c r="B708" s="9" t="s">
        <v>13</v>
      </c>
      <c r="C708" s="9" t="s">
        <v>15</v>
      </c>
    </row>
    <row r="709" spans="1:7" ht="14.5" x14ac:dyDescent="0.35">
      <c r="A709" s="8">
        <v>57410</v>
      </c>
      <c r="B709" s="9" t="s">
        <v>16</v>
      </c>
      <c r="C709" s="9" t="s">
        <v>15</v>
      </c>
    </row>
    <row r="710" spans="1:7" ht="14.5" x14ac:dyDescent="0.35">
      <c r="A710" s="8">
        <v>57455</v>
      </c>
      <c r="B710" s="9" t="s">
        <v>17</v>
      </c>
      <c r="C710" s="9" t="s">
        <v>18</v>
      </c>
    </row>
    <row r="711" spans="1:7" ht="14.5" x14ac:dyDescent="0.35">
      <c r="A711" s="8">
        <v>57456</v>
      </c>
      <c r="B711" s="9" t="s">
        <v>19</v>
      </c>
      <c r="C711" s="9" t="s">
        <v>20</v>
      </c>
    </row>
    <row r="712" spans="1:7" ht="14.5" x14ac:dyDescent="0.35">
      <c r="A712" s="8">
        <v>57466</v>
      </c>
      <c r="B712" s="9" t="s">
        <v>16</v>
      </c>
      <c r="C712" s="9" t="s">
        <v>21</v>
      </c>
    </row>
    <row r="713" spans="1:7" ht="14.5" x14ac:dyDescent="0.35">
      <c r="A713" s="8">
        <v>57517</v>
      </c>
      <c r="B713" s="9" t="s">
        <v>22</v>
      </c>
      <c r="C713" s="9" t="s">
        <v>23</v>
      </c>
    </row>
    <row r="714" spans="1:7" ht="14.5" x14ac:dyDescent="0.35">
      <c r="A714" s="8">
        <v>57595</v>
      </c>
      <c r="B714" s="9" t="s">
        <v>17</v>
      </c>
      <c r="C714" s="9" t="s">
        <v>24</v>
      </c>
    </row>
    <row r="715" spans="1:7" ht="14.5" x14ac:dyDescent="0.35">
      <c r="A715" s="8">
        <v>57630</v>
      </c>
      <c r="B715" s="9" t="s">
        <v>17</v>
      </c>
      <c r="C715" s="9" t="s">
        <v>25</v>
      </c>
    </row>
    <row r="716" spans="1:7" ht="14.5" x14ac:dyDescent="0.35">
      <c r="A716" s="8">
        <v>57651</v>
      </c>
      <c r="B716" s="9" t="s">
        <v>17</v>
      </c>
      <c r="C716" s="9" t="s">
        <v>26</v>
      </c>
    </row>
    <row r="717" spans="1:7" ht="14.5" x14ac:dyDescent="0.35">
      <c r="A717" s="8">
        <v>57664</v>
      </c>
      <c r="B717" s="9" t="s">
        <v>22</v>
      </c>
      <c r="C717" s="9" t="s">
        <v>27</v>
      </c>
    </row>
    <row r="718" spans="1:7" ht="14.5" x14ac:dyDescent="0.35">
      <c r="A718" s="8">
        <v>57669</v>
      </c>
      <c r="B718" s="9" t="s">
        <v>16</v>
      </c>
      <c r="C718" s="9" t="s">
        <v>31</v>
      </c>
      <c r="G718" s="12"/>
    </row>
    <row r="719" spans="1:7" ht="14.5" x14ac:dyDescent="0.35">
      <c r="A719" s="8">
        <v>57704</v>
      </c>
      <c r="B719" s="9" t="s">
        <v>16</v>
      </c>
      <c r="C719" s="9" t="s">
        <v>28</v>
      </c>
    </row>
    <row r="720" spans="1:7" ht="14.5" x14ac:dyDescent="0.35">
      <c r="A720" s="10">
        <v>57711</v>
      </c>
      <c r="B720" s="11" t="s">
        <v>16</v>
      </c>
      <c r="C720" s="11" t="s">
        <v>14</v>
      </c>
    </row>
    <row r="721" spans="1:7" ht="14.5" x14ac:dyDescent="0.35">
      <c r="A721" s="10">
        <v>57766</v>
      </c>
      <c r="B721" s="11" t="s">
        <v>13</v>
      </c>
      <c r="C721" s="11" t="s">
        <v>15</v>
      </c>
    </row>
    <row r="722" spans="1:7" ht="14.5" x14ac:dyDescent="0.35">
      <c r="A722" s="10">
        <v>57767</v>
      </c>
      <c r="B722" s="11" t="s">
        <v>16</v>
      </c>
      <c r="C722" s="11" t="s">
        <v>15</v>
      </c>
    </row>
    <row r="723" spans="1:7" ht="14.5" x14ac:dyDescent="0.35">
      <c r="A723" s="10">
        <v>57812</v>
      </c>
      <c r="B723" s="11" t="s">
        <v>17</v>
      </c>
      <c r="C723" s="11" t="s">
        <v>18</v>
      </c>
    </row>
    <row r="724" spans="1:7" ht="14.5" x14ac:dyDescent="0.35">
      <c r="A724" s="10">
        <v>57821</v>
      </c>
      <c r="B724" s="11" t="s">
        <v>29</v>
      </c>
      <c r="C724" s="11" t="s">
        <v>20</v>
      </c>
    </row>
    <row r="725" spans="1:7" ht="14.5" x14ac:dyDescent="0.35">
      <c r="A725" s="10">
        <v>57831</v>
      </c>
      <c r="B725" s="11" t="s">
        <v>30</v>
      </c>
      <c r="C725" s="11" t="s">
        <v>21</v>
      </c>
    </row>
    <row r="726" spans="1:7" ht="14.5" x14ac:dyDescent="0.35">
      <c r="A726" s="10">
        <v>57874</v>
      </c>
      <c r="B726" s="11" t="s">
        <v>22</v>
      </c>
      <c r="C726" s="11" t="s">
        <v>23</v>
      </c>
    </row>
    <row r="727" spans="1:7" ht="14.5" x14ac:dyDescent="0.35">
      <c r="A727" s="10">
        <v>57960</v>
      </c>
      <c r="B727" s="11" t="s">
        <v>19</v>
      </c>
      <c r="C727" s="11" t="s">
        <v>24</v>
      </c>
    </row>
    <row r="728" spans="1:7" ht="14.5" x14ac:dyDescent="0.35">
      <c r="A728" s="10">
        <v>57995</v>
      </c>
      <c r="B728" s="11" t="s">
        <v>19</v>
      </c>
      <c r="C728" s="11" t="s">
        <v>25</v>
      </c>
    </row>
    <row r="729" spans="1:7" ht="14.5" x14ac:dyDescent="0.35">
      <c r="A729" s="10">
        <v>58016</v>
      </c>
      <c r="B729" s="11" t="s">
        <v>19</v>
      </c>
      <c r="C729" s="11" t="s">
        <v>26</v>
      </c>
    </row>
    <row r="730" spans="1:7" ht="14.5" x14ac:dyDescent="0.35">
      <c r="A730" s="10">
        <v>58029</v>
      </c>
      <c r="B730" s="11" t="s">
        <v>17</v>
      </c>
      <c r="C730" s="11" t="s">
        <v>27</v>
      </c>
    </row>
    <row r="731" spans="1:7" ht="14.5" x14ac:dyDescent="0.35">
      <c r="A731" s="10">
        <v>58034</v>
      </c>
      <c r="B731" s="11" t="s">
        <v>30</v>
      </c>
      <c r="C731" s="11" t="s">
        <v>31</v>
      </c>
      <c r="G731" s="12"/>
    </row>
    <row r="732" spans="1:7" ht="14.5" x14ac:dyDescent="0.35">
      <c r="A732" s="10">
        <v>58069</v>
      </c>
      <c r="B732" s="11" t="s">
        <v>30</v>
      </c>
      <c r="C732" s="11" t="s">
        <v>28</v>
      </c>
    </row>
    <row r="733" spans="1:7" ht="14.5" x14ac:dyDescent="0.35">
      <c r="A733" s="8">
        <v>58076</v>
      </c>
      <c r="B733" s="9" t="s">
        <v>30</v>
      </c>
      <c r="C733" s="9" t="s">
        <v>14</v>
      </c>
    </row>
    <row r="734" spans="1:7" ht="14.5" x14ac:dyDescent="0.35">
      <c r="A734" s="8">
        <v>58116</v>
      </c>
      <c r="B734" s="9" t="s">
        <v>13</v>
      </c>
      <c r="C734" s="9" t="s">
        <v>15</v>
      </c>
    </row>
    <row r="735" spans="1:7" ht="14.5" x14ac:dyDescent="0.35">
      <c r="A735" s="8">
        <v>58117</v>
      </c>
      <c r="B735" s="9" t="s">
        <v>16</v>
      </c>
      <c r="C735" s="9" t="s">
        <v>15</v>
      </c>
    </row>
    <row r="736" spans="1:7" ht="14.5" x14ac:dyDescent="0.35">
      <c r="A736" s="8">
        <v>58162</v>
      </c>
      <c r="B736" s="9" t="s">
        <v>17</v>
      </c>
      <c r="C736" s="9" t="s">
        <v>18</v>
      </c>
    </row>
    <row r="737" spans="1:7" ht="14.5" x14ac:dyDescent="0.35">
      <c r="A737" s="8">
        <v>58186</v>
      </c>
      <c r="B737" s="9" t="s">
        <v>13</v>
      </c>
      <c r="C737" s="9" t="s">
        <v>20</v>
      </c>
    </row>
    <row r="738" spans="1:7" ht="14.5" x14ac:dyDescent="0.35">
      <c r="A738" s="8">
        <v>58196</v>
      </c>
      <c r="B738" s="9" t="s">
        <v>22</v>
      </c>
      <c r="C738" s="9" t="s">
        <v>21</v>
      </c>
    </row>
    <row r="739" spans="1:7" ht="14.5" x14ac:dyDescent="0.35">
      <c r="A739" s="8">
        <v>58224</v>
      </c>
      <c r="B739" s="9" t="s">
        <v>22</v>
      </c>
      <c r="C739" s="9" t="s">
        <v>23</v>
      </c>
    </row>
    <row r="740" spans="1:7" ht="14.5" x14ac:dyDescent="0.35">
      <c r="A740" s="8">
        <v>58325</v>
      </c>
      <c r="B740" s="9" t="s">
        <v>29</v>
      </c>
      <c r="C740" s="9" t="s">
        <v>24</v>
      </c>
    </row>
    <row r="741" spans="1:7" ht="14.5" x14ac:dyDescent="0.35">
      <c r="A741" s="8">
        <v>58360</v>
      </c>
      <c r="B741" s="9" t="s">
        <v>29</v>
      </c>
      <c r="C741" s="9" t="s">
        <v>25</v>
      </c>
    </row>
    <row r="742" spans="1:7" ht="14.5" x14ac:dyDescent="0.35">
      <c r="A742" s="8">
        <v>58381</v>
      </c>
      <c r="B742" s="9" t="s">
        <v>29</v>
      </c>
      <c r="C742" s="9" t="s">
        <v>26</v>
      </c>
    </row>
    <row r="743" spans="1:7" ht="14.5" x14ac:dyDescent="0.35">
      <c r="A743" s="8">
        <v>58394</v>
      </c>
      <c r="B743" s="9" t="s">
        <v>19</v>
      </c>
      <c r="C743" s="9" t="s">
        <v>27</v>
      </c>
    </row>
    <row r="744" spans="1:7" ht="14.5" x14ac:dyDescent="0.35">
      <c r="A744" s="8">
        <v>58399</v>
      </c>
      <c r="B744" s="9" t="s">
        <v>22</v>
      </c>
      <c r="C744" s="9" t="s">
        <v>31</v>
      </c>
      <c r="G744" s="12"/>
    </row>
    <row r="745" spans="1:7" ht="14.5" x14ac:dyDescent="0.35">
      <c r="A745" s="8">
        <v>58434</v>
      </c>
      <c r="B745" s="9" t="s">
        <v>22</v>
      </c>
      <c r="C745" s="9" t="s">
        <v>28</v>
      </c>
    </row>
    <row r="746" spans="1:7" ht="14.5" x14ac:dyDescent="0.35">
      <c r="A746" s="10">
        <v>58441</v>
      </c>
      <c r="B746" s="11" t="s">
        <v>22</v>
      </c>
      <c r="C746" s="11" t="s">
        <v>14</v>
      </c>
    </row>
    <row r="747" spans="1:7" ht="14.5" x14ac:dyDescent="0.35">
      <c r="A747" s="10">
        <v>58501</v>
      </c>
      <c r="B747" s="11" t="s">
        <v>13</v>
      </c>
      <c r="C747" s="11" t="s">
        <v>15</v>
      </c>
    </row>
    <row r="748" spans="1:7" ht="14.5" x14ac:dyDescent="0.35">
      <c r="A748" s="10">
        <v>58502</v>
      </c>
      <c r="B748" s="11" t="s">
        <v>16</v>
      </c>
      <c r="C748" s="11" t="s">
        <v>15</v>
      </c>
    </row>
    <row r="749" spans="1:7" ht="14.5" x14ac:dyDescent="0.35">
      <c r="A749" s="10">
        <v>58547</v>
      </c>
      <c r="B749" s="11" t="s">
        <v>17</v>
      </c>
      <c r="C749" s="11" t="s">
        <v>18</v>
      </c>
    </row>
    <row r="750" spans="1:7" ht="14.5" x14ac:dyDescent="0.35">
      <c r="A750" s="10">
        <v>58552</v>
      </c>
      <c r="B750" s="11" t="s">
        <v>30</v>
      </c>
      <c r="C750" s="11" t="s">
        <v>20</v>
      </c>
    </row>
    <row r="751" spans="1:7" ht="14.5" x14ac:dyDescent="0.35">
      <c r="A751" s="10">
        <v>58562</v>
      </c>
      <c r="B751" s="11" t="s">
        <v>19</v>
      </c>
      <c r="C751" s="11" t="s">
        <v>21</v>
      </c>
    </row>
    <row r="752" spans="1:7" ht="14.5" x14ac:dyDescent="0.35">
      <c r="A752" s="10">
        <v>58609</v>
      </c>
      <c r="B752" s="11" t="s">
        <v>22</v>
      </c>
      <c r="C752" s="11" t="s">
        <v>23</v>
      </c>
    </row>
    <row r="753" spans="1:7" ht="14.5" x14ac:dyDescent="0.35">
      <c r="A753" s="10">
        <v>58691</v>
      </c>
      <c r="B753" s="11" t="s">
        <v>16</v>
      </c>
      <c r="C753" s="11" t="s">
        <v>24</v>
      </c>
    </row>
    <row r="754" spans="1:7" ht="14.5" x14ac:dyDescent="0.35">
      <c r="A754" s="10">
        <v>58726</v>
      </c>
      <c r="B754" s="11" t="s">
        <v>16</v>
      </c>
      <c r="C754" s="11" t="s">
        <v>25</v>
      </c>
    </row>
    <row r="755" spans="1:7" ht="14.5" x14ac:dyDescent="0.35">
      <c r="A755" s="10">
        <v>58747</v>
      </c>
      <c r="B755" s="11" t="s">
        <v>16</v>
      </c>
      <c r="C755" s="11" t="s">
        <v>26</v>
      </c>
    </row>
    <row r="756" spans="1:7" ht="14.5" x14ac:dyDescent="0.35">
      <c r="A756" s="10">
        <v>58760</v>
      </c>
      <c r="B756" s="11" t="s">
        <v>13</v>
      </c>
      <c r="C756" s="11" t="s">
        <v>27</v>
      </c>
    </row>
    <row r="757" spans="1:7" ht="14.5" x14ac:dyDescent="0.35">
      <c r="A757" s="10">
        <v>58765</v>
      </c>
      <c r="B757" s="11" t="s">
        <v>19</v>
      </c>
      <c r="C757" s="11" t="s">
        <v>31</v>
      </c>
      <c r="G757" s="12"/>
    </row>
    <row r="758" spans="1:7" ht="14.5" x14ac:dyDescent="0.35">
      <c r="A758" s="10">
        <v>58800</v>
      </c>
      <c r="B758" s="11" t="s">
        <v>19</v>
      </c>
      <c r="C758" s="11" t="s">
        <v>28</v>
      </c>
    </row>
    <row r="759" spans="1:7" ht="14.5" x14ac:dyDescent="0.35">
      <c r="A759" s="8">
        <v>58807</v>
      </c>
      <c r="B759" s="9" t="s">
        <v>19</v>
      </c>
      <c r="C759" s="9" t="s">
        <v>14</v>
      </c>
    </row>
    <row r="760" spans="1:7" ht="14.5" x14ac:dyDescent="0.35">
      <c r="A760" s="8">
        <v>58858</v>
      </c>
      <c r="B760" s="9" t="s">
        <v>13</v>
      </c>
      <c r="C760" s="9" t="s">
        <v>15</v>
      </c>
    </row>
    <row r="761" spans="1:7" ht="14.5" x14ac:dyDescent="0.35">
      <c r="A761" s="8">
        <v>58859</v>
      </c>
      <c r="B761" s="9" t="s">
        <v>16</v>
      </c>
      <c r="C761" s="9" t="s">
        <v>15</v>
      </c>
    </row>
    <row r="762" spans="1:7" ht="14.5" x14ac:dyDescent="0.35">
      <c r="A762" s="8">
        <v>58904</v>
      </c>
      <c r="B762" s="9" t="s">
        <v>17</v>
      </c>
      <c r="C762" s="9" t="s">
        <v>18</v>
      </c>
    </row>
    <row r="763" spans="1:7" ht="14.5" x14ac:dyDescent="0.35">
      <c r="A763" s="8">
        <v>58917</v>
      </c>
      <c r="B763" s="9" t="s">
        <v>22</v>
      </c>
      <c r="C763" s="9" t="s">
        <v>20</v>
      </c>
    </row>
    <row r="764" spans="1:7" ht="14.5" x14ac:dyDescent="0.35">
      <c r="A764" s="8">
        <v>58927</v>
      </c>
      <c r="B764" s="9" t="s">
        <v>29</v>
      </c>
      <c r="C764" s="9" t="s">
        <v>21</v>
      </c>
    </row>
    <row r="765" spans="1:7" ht="14.5" x14ac:dyDescent="0.35">
      <c r="A765" s="8">
        <v>58966</v>
      </c>
      <c r="B765" s="9" t="s">
        <v>22</v>
      </c>
      <c r="C765" s="9" t="s">
        <v>23</v>
      </c>
    </row>
    <row r="766" spans="1:7" ht="14.5" x14ac:dyDescent="0.35">
      <c r="A766" s="8">
        <v>59056</v>
      </c>
      <c r="B766" s="9" t="s">
        <v>30</v>
      </c>
      <c r="C766" s="9" t="s">
        <v>24</v>
      </c>
    </row>
    <row r="767" spans="1:7" ht="14.5" x14ac:dyDescent="0.35">
      <c r="A767" s="8">
        <v>59091</v>
      </c>
      <c r="B767" s="9" t="s">
        <v>30</v>
      </c>
      <c r="C767" s="9" t="s">
        <v>25</v>
      </c>
    </row>
    <row r="768" spans="1:7" ht="14.5" x14ac:dyDescent="0.35">
      <c r="A768" s="8">
        <v>59112</v>
      </c>
      <c r="B768" s="9" t="s">
        <v>30</v>
      </c>
      <c r="C768" s="9" t="s">
        <v>26</v>
      </c>
    </row>
    <row r="769" spans="1:7" ht="14.5" x14ac:dyDescent="0.35">
      <c r="A769" s="8">
        <v>59125</v>
      </c>
      <c r="B769" s="9" t="s">
        <v>16</v>
      </c>
      <c r="C769" s="9" t="s">
        <v>27</v>
      </c>
    </row>
    <row r="770" spans="1:7" ht="14.5" x14ac:dyDescent="0.35">
      <c r="A770" s="8">
        <v>59130</v>
      </c>
      <c r="B770" s="9" t="s">
        <v>29</v>
      </c>
      <c r="C770" s="9" t="s">
        <v>31</v>
      </c>
      <c r="G770" s="12"/>
    </row>
    <row r="771" spans="1:7" ht="14.5" x14ac:dyDescent="0.35">
      <c r="A771" s="8">
        <v>59165</v>
      </c>
      <c r="B771" s="9" t="s">
        <v>29</v>
      </c>
      <c r="C771" s="9" t="s">
        <v>28</v>
      </c>
    </row>
    <row r="772" spans="1:7" ht="14.5" x14ac:dyDescent="0.35">
      <c r="A772" s="10">
        <v>59172</v>
      </c>
      <c r="B772" s="11" t="s">
        <v>29</v>
      </c>
      <c r="C772" s="11" t="s">
        <v>14</v>
      </c>
    </row>
    <row r="773" spans="1:7" ht="14.5" x14ac:dyDescent="0.35">
      <c r="A773" s="10">
        <v>59208</v>
      </c>
      <c r="B773" s="11" t="s">
        <v>13</v>
      </c>
      <c r="C773" s="11" t="s">
        <v>15</v>
      </c>
    </row>
    <row r="774" spans="1:7" ht="14.5" x14ac:dyDescent="0.35">
      <c r="A774" s="10">
        <v>59209</v>
      </c>
      <c r="B774" s="11" t="s">
        <v>16</v>
      </c>
      <c r="C774" s="11" t="s">
        <v>15</v>
      </c>
    </row>
    <row r="775" spans="1:7" ht="14.5" x14ac:dyDescent="0.35">
      <c r="A775" s="10">
        <v>59254</v>
      </c>
      <c r="B775" s="11" t="s">
        <v>17</v>
      </c>
      <c r="C775" s="11" t="s">
        <v>18</v>
      </c>
    </row>
    <row r="776" spans="1:7" ht="14.5" x14ac:dyDescent="0.35">
      <c r="A776" s="10">
        <v>59282</v>
      </c>
      <c r="B776" s="11" t="s">
        <v>17</v>
      </c>
      <c r="C776" s="11" t="s">
        <v>20</v>
      </c>
    </row>
    <row r="777" spans="1:7" ht="14.5" x14ac:dyDescent="0.35">
      <c r="A777" s="10">
        <v>59292</v>
      </c>
      <c r="B777" s="11" t="s">
        <v>13</v>
      </c>
      <c r="C777" s="11" t="s">
        <v>21</v>
      </c>
    </row>
    <row r="778" spans="1:7" ht="14.5" x14ac:dyDescent="0.35">
      <c r="A778" s="10">
        <v>59316</v>
      </c>
      <c r="B778" s="11" t="s">
        <v>22</v>
      </c>
      <c r="C778" s="11" t="s">
        <v>23</v>
      </c>
    </row>
    <row r="779" spans="1:7" ht="14.5" x14ac:dyDescent="0.35">
      <c r="A779" s="10">
        <v>59421</v>
      </c>
      <c r="B779" s="11" t="s">
        <v>22</v>
      </c>
      <c r="C779" s="11" t="s">
        <v>24</v>
      </c>
    </row>
    <row r="780" spans="1:7" ht="14.5" x14ac:dyDescent="0.35">
      <c r="A780" s="10">
        <v>59456</v>
      </c>
      <c r="B780" s="11" t="s">
        <v>22</v>
      </c>
      <c r="C780" s="11" t="s">
        <v>25</v>
      </c>
    </row>
    <row r="781" spans="1:7" ht="14.5" x14ac:dyDescent="0.35">
      <c r="A781" s="10">
        <v>59477</v>
      </c>
      <c r="B781" s="11" t="s">
        <v>22</v>
      </c>
      <c r="C781" s="11" t="s">
        <v>26</v>
      </c>
    </row>
    <row r="782" spans="1:7" ht="14.5" x14ac:dyDescent="0.35">
      <c r="A782" s="10">
        <v>59490</v>
      </c>
      <c r="B782" s="11" t="s">
        <v>30</v>
      </c>
      <c r="C782" s="11" t="s">
        <v>27</v>
      </c>
    </row>
    <row r="783" spans="1:7" ht="14.5" x14ac:dyDescent="0.35">
      <c r="A783" s="10">
        <v>59495</v>
      </c>
      <c r="B783" s="11" t="s">
        <v>13</v>
      </c>
      <c r="C783" s="11" t="s">
        <v>31</v>
      </c>
      <c r="G783" s="12"/>
    </row>
    <row r="784" spans="1:7" ht="14.5" x14ac:dyDescent="0.35">
      <c r="A784" s="10">
        <v>59530</v>
      </c>
      <c r="B784" s="11" t="s">
        <v>13</v>
      </c>
      <c r="C784" s="11" t="s">
        <v>28</v>
      </c>
    </row>
    <row r="785" spans="1:7" ht="14.5" x14ac:dyDescent="0.35">
      <c r="A785" s="8">
        <v>59537</v>
      </c>
      <c r="B785" s="9" t="s">
        <v>13</v>
      </c>
      <c r="C785" s="9" t="s">
        <v>14</v>
      </c>
    </row>
    <row r="786" spans="1:7" ht="14.5" x14ac:dyDescent="0.35">
      <c r="A786" s="8">
        <v>59593</v>
      </c>
      <c r="B786" s="9" t="s">
        <v>13</v>
      </c>
      <c r="C786" s="9" t="s">
        <v>15</v>
      </c>
    </row>
    <row r="787" spans="1:7" ht="14.5" x14ac:dyDescent="0.35">
      <c r="A787" s="8">
        <v>59594</v>
      </c>
      <c r="B787" s="9" t="s">
        <v>16</v>
      </c>
      <c r="C787" s="9" t="s">
        <v>15</v>
      </c>
    </row>
    <row r="788" spans="1:7" ht="14.5" x14ac:dyDescent="0.35">
      <c r="A788" s="8">
        <v>59639</v>
      </c>
      <c r="B788" s="9" t="s">
        <v>17</v>
      </c>
      <c r="C788" s="9" t="s">
        <v>18</v>
      </c>
    </row>
    <row r="789" spans="1:7" ht="14.5" x14ac:dyDescent="0.35">
      <c r="A789" s="8">
        <v>59647</v>
      </c>
      <c r="B789" s="9" t="s">
        <v>19</v>
      </c>
      <c r="C789" s="9" t="s">
        <v>20</v>
      </c>
    </row>
    <row r="790" spans="1:7" ht="14.5" x14ac:dyDescent="0.35">
      <c r="A790" s="8">
        <v>59657</v>
      </c>
      <c r="B790" s="9" t="s">
        <v>16</v>
      </c>
      <c r="C790" s="9" t="s">
        <v>21</v>
      </c>
    </row>
    <row r="791" spans="1:7" ht="14.5" x14ac:dyDescent="0.35">
      <c r="A791" s="8">
        <v>59701</v>
      </c>
      <c r="B791" s="9" t="s">
        <v>22</v>
      </c>
      <c r="C791" s="9" t="s">
        <v>23</v>
      </c>
    </row>
    <row r="792" spans="1:7" ht="14.5" x14ac:dyDescent="0.35">
      <c r="A792" s="8">
        <v>59786</v>
      </c>
      <c r="B792" s="9" t="s">
        <v>17</v>
      </c>
      <c r="C792" s="9" t="s">
        <v>24</v>
      </c>
    </row>
    <row r="793" spans="1:7" ht="14.5" x14ac:dyDescent="0.35">
      <c r="A793" s="8">
        <v>59821</v>
      </c>
      <c r="B793" s="9" t="s">
        <v>17</v>
      </c>
      <c r="C793" s="9" t="s">
        <v>25</v>
      </c>
    </row>
    <row r="794" spans="1:7" ht="14.5" x14ac:dyDescent="0.35">
      <c r="A794" s="8">
        <v>59842</v>
      </c>
      <c r="B794" s="9" t="s">
        <v>17</v>
      </c>
      <c r="C794" s="9" t="s">
        <v>26</v>
      </c>
    </row>
    <row r="795" spans="1:7" ht="14.5" x14ac:dyDescent="0.35">
      <c r="A795" s="8">
        <v>59855</v>
      </c>
      <c r="B795" s="9" t="s">
        <v>22</v>
      </c>
      <c r="C795" s="9" t="s">
        <v>27</v>
      </c>
    </row>
    <row r="796" spans="1:7" ht="14.5" x14ac:dyDescent="0.35">
      <c r="A796" s="8">
        <v>59860</v>
      </c>
      <c r="B796" s="9" t="s">
        <v>16</v>
      </c>
      <c r="C796" s="9" t="s">
        <v>31</v>
      </c>
      <c r="G796" s="12"/>
    </row>
    <row r="797" spans="1:7" ht="14.5" x14ac:dyDescent="0.35">
      <c r="A797" s="8">
        <v>59895</v>
      </c>
      <c r="B797" s="9" t="s">
        <v>16</v>
      </c>
      <c r="C797" s="9" t="s">
        <v>28</v>
      </c>
    </row>
    <row r="798" spans="1:7" ht="14.5" x14ac:dyDescent="0.35">
      <c r="A798" s="10">
        <v>59902</v>
      </c>
      <c r="B798" s="11" t="s">
        <v>16</v>
      </c>
      <c r="C798" s="11" t="s">
        <v>14</v>
      </c>
    </row>
    <row r="799" spans="1:7" ht="14.5" x14ac:dyDescent="0.35">
      <c r="A799" s="10">
        <v>59950</v>
      </c>
      <c r="B799" s="11" t="s">
        <v>13</v>
      </c>
      <c r="C799" s="11" t="s">
        <v>15</v>
      </c>
    </row>
    <row r="800" spans="1:7" ht="14.5" x14ac:dyDescent="0.35">
      <c r="A800" s="10">
        <v>59951</v>
      </c>
      <c r="B800" s="11" t="s">
        <v>16</v>
      </c>
      <c r="C800" s="11" t="s">
        <v>15</v>
      </c>
    </row>
    <row r="801" spans="1:7" ht="14.5" x14ac:dyDescent="0.35">
      <c r="A801" s="10">
        <v>59996</v>
      </c>
      <c r="B801" s="11" t="s">
        <v>17</v>
      </c>
      <c r="C801" s="11" t="s">
        <v>18</v>
      </c>
    </row>
    <row r="802" spans="1:7" ht="14.5" x14ac:dyDescent="0.35">
      <c r="A802" s="10">
        <v>60013</v>
      </c>
      <c r="B802" s="11" t="s">
        <v>13</v>
      </c>
      <c r="C802" s="11" t="s">
        <v>20</v>
      </c>
    </row>
    <row r="803" spans="1:7" ht="14.5" x14ac:dyDescent="0.35">
      <c r="A803" s="10">
        <v>60023</v>
      </c>
      <c r="B803" s="11" t="s">
        <v>22</v>
      </c>
      <c r="C803" s="11" t="s">
        <v>21</v>
      </c>
    </row>
    <row r="804" spans="1:7" ht="14.5" x14ac:dyDescent="0.35">
      <c r="A804" s="10">
        <v>60058</v>
      </c>
      <c r="B804" s="11" t="s">
        <v>22</v>
      </c>
      <c r="C804" s="11" t="s">
        <v>23</v>
      </c>
    </row>
    <row r="805" spans="1:7" ht="14.5" x14ac:dyDescent="0.35">
      <c r="A805" s="10">
        <v>60152</v>
      </c>
      <c r="B805" s="11" t="s">
        <v>29</v>
      </c>
      <c r="C805" s="11" t="s">
        <v>24</v>
      </c>
    </row>
    <row r="806" spans="1:7" ht="14.5" x14ac:dyDescent="0.35">
      <c r="A806" s="10">
        <v>60187</v>
      </c>
      <c r="B806" s="11" t="s">
        <v>29</v>
      </c>
      <c r="C806" s="11" t="s">
        <v>25</v>
      </c>
    </row>
    <row r="807" spans="1:7" ht="14.5" x14ac:dyDescent="0.35">
      <c r="A807" s="10">
        <v>60208</v>
      </c>
      <c r="B807" s="11" t="s">
        <v>29</v>
      </c>
      <c r="C807" s="11" t="s">
        <v>26</v>
      </c>
    </row>
    <row r="808" spans="1:7" ht="14.5" x14ac:dyDescent="0.35">
      <c r="A808" s="10">
        <v>60221</v>
      </c>
      <c r="B808" s="11" t="s">
        <v>19</v>
      </c>
      <c r="C808" s="11" t="s">
        <v>27</v>
      </c>
    </row>
    <row r="809" spans="1:7" ht="14.5" x14ac:dyDescent="0.35">
      <c r="A809" s="10">
        <v>60226</v>
      </c>
      <c r="B809" s="11" t="s">
        <v>22</v>
      </c>
      <c r="C809" s="11" t="s">
        <v>31</v>
      </c>
      <c r="G809" s="12"/>
    </row>
    <row r="810" spans="1:7" ht="14.5" x14ac:dyDescent="0.35">
      <c r="A810" s="10">
        <v>60261</v>
      </c>
      <c r="B810" s="11" t="s">
        <v>22</v>
      </c>
      <c r="C810" s="11" t="s">
        <v>28</v>
      </c>
    </row>
    <row r="811" spans="1:7" ht="14.5" x14ac:dyDescent="0.35">
      <c r="A811" s="8">
        <v>60268</v>
      </c>
      <c r="B811" s="9" t="s">
        <v>22</v>
      </c>
      <c r="C811" s="9" t="s">
        <v>14</v>
      </c>
    </row>
    <row r="812" spans="1:7" ht="14.5" x14ac:dyDescent="0.35">
      <c r="A812" s="8">
        <v>60307</v>
      </c>
      <c r="B812" s="9" t="s">
        <v>13</v>
      </c>
      <c r="C812" s="9" t="s">
        <v>15</v>
      </c>
    </row>
    <row r="813" spans="1:7" ht="14.5" x14ac:dyDescent="0.35">
      <c r="A813" s="8">
        <v>60308</v>
      </c>
      <c r="B813" s="9" t="s">
        <v>16</v>
      </c>
      <c r="C813" s="9" t="s">
        <v>15</v>
      </c>
    </row>
    <row r="814" spans="1:7" ht="14.5" x14ac:dyDescent="0.35">
      <c r="A814" s="8">
        <v>60353</v>
      </c>
      <c r="B814" s="9" t="s">
        <v>17</v>
      </c>
      <c r="C814" s="9" t="s">
        <v>18</v>
      </c>
    </row>
    <row r="815" spans="1:7" ht="14.5" x14ac:dyDescent="0.35">
      <c r="A815" s="8">
        <v>60378</v>
      </c>
      <c r="B815" s="9" t="s">
        <v>16</v>
      </c>
      <c r="C815" s="9" t="s">
        <v>20</v>
      </c>
    </row>
    <row r="816" spans="1:7" ht="14.5" x14ac:dyDescent="0.35">
      <c r="A816" s="8">
        <v>60388</v>
      </c>
      <c r="B816" s="9" t="s">
        <v>17</v>
      </c>
      <c r="C816" s="9" t="s">
        <v>21</v>
      </c>
    </row>
    <row r="817" spans="1:7" ht="14.5" x14ac:dyDescent="0.35">
      <c r="A817" s="8">
        <v>60415</v>
      </c>
      <c r="B817" s="9" t="s">
        <v>22</v>
      </c>
      <c r="C817" s="9" t="s">
        <v>23</v>
      </c>
    </row>
    <row r="818" spans="1:7" ht="14.5" x14ac:dyDescent="0.35">
      <c r="A818" s="8">
        <v>60517</v>
      </c>
      <c r="B818" s="9" t="s">
        <v>13</v>
      </c>
      <c r="C818" s="9" t="s">
        <v>24</v>
      </c>
    </row>
    <row r="819" spans="1:7" ht="14.5" x14ac:dyDescent="0.35">
      <c r="A819" s="8">
        <v>60552</v>
      </c>
      <c r="B819" s="9" t="s">
        <v>13</v>
      </c>
      <c r="C819" s="9" t="s">
        <v>25</v>
      </c>
    </row>
    <row r="820" spans="1:7" ht="14.5" x14ac:dyDescent="0.35">
      <c r="A820" s="8">
        <v>60573</v>
      </c>
      <c r="B820" s="9" t="s">
        <v>13</v>
      </c>
      <c r="C820" s="9" t="s">
        <v>26</v>
      </c>
    </row>
    <row r="821" spans="1:7" ht="14.5" x14ac:dyDescent="0.35">
      <c r="A821" s="8">
        <v>60586</v>
      </c>
      <c r="B821" s="9" t="s">
        <v>29</v>
      </c>
      <c r="C821" s="9" t="s">
        <v>27</v>
      </c>
    </row>
    <row r="822" spans="1:7" ht="14.5" x14ac:dyDescent="0.35">
      <c r="A822" s="8">
        <v>60591</v>
      </c>
      <c r="B822" s="9" t="s">
        <v>17</v>
      </c>
      <c r="C822" s="9" t="s">
        <v>31</v>
      </c>
      <c r="G822" s="12"/>
    </row>
    <row r="823" spans="1:7" ht="14.5" x14ac:dyDescent="0.35">
      <c r="A823" s="8">
        <v>60626</v>
      </c>
      <c r="B823" s="9" t="s">
        <v>17</v>
      </c>
      <c r="C823" s="9" t="s">
        <v>28</v>
      </c>
    </row>
    <row r="824" spans="1:7" ht="14.5" x14ac:dyDescent="0.35">
      <c r="A824" s="10">
        <v>60633</v>
      </c>
      <c r="B824" s="11" t="s">
        <v>17</v>
      </c>
      <c r="C824" s="11" t="s">
        <v>14</v>
      </c>
    </row>
    <row r="825" spans="1:7" ht="14.5" x14ac:dyDescent="0.35">
      <c r="A825" s="10">
        <v>60685</v>
      </c>
      <c r="B825" s="11" t="s">
        <v>13</v>
      </c>
      <c r="C825" s="11" t="s">
        <v>15</v>
      </c>
    </row>
    <row r="826" spans="1:7" ht="14.5" x14ac:dyDescent="0.35">
      <c r="A826" s="10">
        <v>60686</v>
      </c>
      <c r="B826" s="11" t="s">
        <v>16</v>
      </c>
      <c r="C826" s="11" t="s">
        <v>15</v>
      </c>
    </row>
    <row r="827" spans="1:7" ht="14.5" x14ac:dyDescent="0.35">
      <c r="A827" s="10">
        <v>60731</v>
      </c>
      <c r="B827" s="11" t="s">
        <v>17</v>
      </c>
      <c r="C827" s="11" t="s">
        <v>18</v>
      </c>
    </row>
    <row r="828" spans="1:7" ht="14.5" x14ac:dyDescent="0.35">
      <c r="A828" s="10">
        <v>60743</v>
      </c>
      <c r="B828" s="11" t="s">
        <v>30</v>
      </c>
      <c r="C828" s="11" t="s">
        <v>20</v>
      </c>
    </row>
    <row r="829" spans="1:7" ht="14.5" x14ac:dyDescent="0.35">
      <c r="A829" s="10">
        <v>60753</v>
      </c>
      <c r="B829" s="11" t="s">
        <v>19</v>
      </c>
      <c r="C829" s="11" t="s">
        <v>21</v>
      </c>
    </row>
    <row r="830" spans="1:7" ht="14.5" x14ac:dyDescent="0.35">
      <c r="A830" s="10">
        <v>60793</v>
      </c>
      <c r="B830" s="11" t="s">
        <v>22</v>
      </c>
      <c r="C830" s="11" t="s">
        <v>23</v>
      </c>
    </row>
    <row r="831" spans="1:7" ht="14.5" x14ac:dyDescent="0.35">
      <c r="A831" s="10">
        <v>60882</v>
      </c>
      <c r="B831" s="11" t="s">
        <v>16</v>
      </c>
      <c r="C831" s="11" t="s">
        <v>24</v>
      </c>
    </row>
    <row r="832" spans="1:7" ht="14.5" x14ac:dyDescent="0.35">
      <c r="A832" s="10">
        <v>60917</v>
      </c>
      <c r="B832" s="11" t="s">
        <v>16</v>
      </c>
      <c r="C832" s="11" t="s">
        <v>25</v>
      </c>
    </row>
    <row r="833" spans="1:7" ht="14.5" x14ac:dyDescent="0.35">
      <c r="A833" s="10">
        <v>60938</v>
      </c>
      <c r="B833" s="11" t="s">
        <v>16</v>
      </c>
      <c r="C833" s="11" t="s">
        <v>26</v>
      </c>
    </row>
    <row r="834" spans="1:7" ht="14.5" x14ac:dyDescent="0.35">
      <c r="A834" s="10">
        <v>60951</v>
      </c>
      <c r="B834" s="11" t="s">
        <v>13</v>
      </c>
      <c r="C834" s="11" t="s">
        <v>27</v>
      </c>
    </row>
    <row r="835" spans="1:7" ht="14.5" x14ac:dyDescent="0.35">
      <c r="A835" s="10">
        <v>60956</v>
      </c>
      <c r="B835" s="11" t="s">
        <v>19</v>
      </c>
      <c r="C835" s="11" t="s">
        <v>31</v>
      </c>
      <c r="G835" s="12"/>
    </row>
    <row r="836" spans="1:7" ht="14.5" x14ac:dyDescent="0.35">
      <c r="A836" s="10">
        <v>60991</v>
      </c>
      <c r="B836" s="11" t="s">
        <v>19</v>
      </c>
      <c r="C836" s="11" t="s">
        <v>28</v>
      </c>
    </row>
    <row r="837" spans="1:7" ht="14.5" x14ac:dyDescent="0.35">
      <c r="A837" s="8">
        <v>60998</v>
      </c>
      <c r="B837" s="9" t="s">
        <v>19</v>
      </c>
      <c r="C837" s="9" t="s">
        <v>14</v>
      </c>
    </row>
    <row r="838" spans="1:7" ht="14.5" x14ac:dyDescent="0.35">
      <c r="A838" s="8">
        <v>61042</v>
      </c>
      <c r="B838" s="9" t="s">
        <v>13</v>
      </c>
      <c r="C838" s="9" t="s">
        <v>15</v>
      </c>
    </row>
    <row r="839" spans="1:7" ht="14.5" x14ac:dyDescent="0.35">
      <c r="A839" s="8">
        <v>61043</v>
      </c>
      <c r="B839" s="9" t="s">
        <v>16</v>
      </c>
      <c r="C839" s="9" t="s">
        <v>15</v>
      </c>
    </row>
    <row r="840" spans="1:7" ht="14.5" x14ac:dyDescent="0.35">
      <c r="A840" s="8">
        <v>61088</v>
      </c>
      <c r="B840" s="9" t="s">
        <v>17</v>
      </c>
      <c r="C840" s="9" t="s">
        <v>18</v>
      </c>
    </row>
    <row r="841" spans="1:7" ht="14.5" x14ac:dyDescent="0.35">
      <c r="A841" s="8">
        <v>61108</v>
      </c>
      <c r="B841" s="9" t="s">
        <v>22</v>
      </c>
      <c r="C841" s="9" t="s">
        <v>20</v>
      </c>
    </row>
    <row r="842" spans="1:7" ht="14.5" x14ac:dyDescent="0.35">
      <c r="A842" s="8">
        <v>61118</v>
      </c>
      <c r="B842" s="9" t="s">
        <v>29</v>
      </c>
      <c r="C842" s="9" t="s">
        <v>21</v>
      </c>
    </row>
    <row r="843" spans="1:7" ht="14.5" x14ac:dyDescent="0.35">
      <c r="A843" s="8">
        <v>61150</v>
      </c>
      <c r="B843" s="9" t="s">
        <v>22</v>
      </c>
      <c r="C843" s="9" t="s">
        <v>23</v>
      </c>
    </row>
    <row r="844" spans="1:7" ht="14.5" x14ac:dyDescent="0.35">
      <c r="A844" s="8">
        <v>61247</v>
      </c>
      <c r="B844" s="9" t="s">
        <v>30</v>
      </c>
      <c r="C844" s="9" t="s">
        <v>24</v>
      </c>
    </row>
    <row r="845" spans="1:7" ht="14.5" x14ac:dyDescent="0.35">
      <c r="A845" s="8">
        <v>61282</v>
      </c>
      <c r="B845" s="9" t="s">
        <v>30</v>
      </c>
      <c r="C845" s="9" t="s">
        <v>25</v>
      </c>
    </row>
    <row r="846" spans="1:7" ht="14.5" x14ac:dyDescent="0.35">
      <c r="A846" s="8">
        <v>61303</v>
      </c>
      <c r="B846" s="9" t="s">
        <v>30</v>
      </c>
      <c r="C846" s="9" t="s">
        <v>26</v>
      </c>
    </row>
    <row r="847" spans="1:7" ht="14.5" x14ac:dyDescent="0.35">
      <c r="A847" s="8">
        <v>61316</v>
      </c>
      <c r="B847" s="9" t="s">
        <v>16</v>
      </c>
      <c r="C847" s="9" t="s">
        <v>27</v>
      </c>
    </row>
    <row r="848" spans="1:7" ht="14.5" x14ac:dyDescent="0.35">
      <c r="A848" s="8">
        <v>61321</v>
      </c>
      <c r="B848" s="9" t="s">
        <v>29</v>
      </c>
      <c r="C848" s="9" t="s">
        <v>31</v>
      </c>
      <c r="G848" s="12"/>
    </row>
    <row r="849" spans="1:7" ht="14.5" x14ac:dyDescent="0.35">
      <c r="A849" s="8">
        <v>61356</v>
      </c>
      <c r="B849" s="9" t="s">
        <v>29</v>
      </c>
      <c r="C849" s="9" t="s">
        <v>28</v>
      </c>
    </row>
    <row r="850" spans="1:7" ht="14.5" x14ac:dyDescent="0.35">
      <c r="A850" s="10">
        <v>61363</v>
      </c>
      <c r="B850" s="11" t="s">
        <v>29</v>
      </c>
      <c r="C850" s="11" t="s">
        <v>14</v>
      </c>
    </row>
    <row r="851" spans="1:7" ht="14.5" x14ac:dyDescent="0.35">
      <c r="A851" s="10">
        <v>61427</v>
      </c>
      <c r="B851" s="11" t="s">
        <v>13</v>
      </c>
      <c r="C851" s="11" t="s">
        <v>15</v>
      </c>
    </row>
    <row r="852" spans="1:7" ht="14.5" x14ac:dyDescent="0.35">
      <c r="A852" s="10">
        <v>61428</v>
      </c>
      <c r="B852" s="11" t="s">
        <v>16</v>
      </c>
      <c r="C852" s="11" t="s">
        <v>15</v>
      </c>
    </row>
    <row r="853" spans="1:7" ht="14.5" x14ac:dyDescent="0.35">
      <c r="A853" s="10">
        <v>61473</v>
      </c>
      <c r="B853" s="11" t="s">
        <v>17</v>
      </c>
      <c r="C853" s="11" t="s">
        <v>18</v>
      </c>
    </row>
    <row r="854" spans="1:7" ht="14.5" x14ac:dyDescent="0.35">
      <c r="A854" s="10">
        <v>61474</v>
      </c>
      <c r="B854" s="11" t="s">
        <v>19</v>
      </c>
      <c r="C854" s="11" t="s">
        <v>20</v>
      </c>
    </row>
    <row r="855" spans="1:7" ht="14.5" x14ac:dyDescent="0.35">
      <c r="A855" s="10">
        <v>61484</v>
      </c>
      <c r="B855" s="11" t="s">
        <v>16</v>
      </c>
      <c r="C855" s="11" t="s">
        <v>21</v>
      </c>
    </row>
    <row r="856" spans="1:7" ht="14.5" x14ac:dyDescent="0.35">
      <c r="A856" s="10">
        <v>61535</v>
      </c>
      <c r="B856" s="11" t="s">
        <v>22</v>
      </c>
      <c r="C856" s="11" t="s">
        <v>23</v>
      </c>
    </row>
    <row r="857" spans="1:7" ht="14.5" x14ac:dyDescent="0.35">
      <c r="A857" s="10">
        <v>61613</v>
      </c>
      <c r="B857" s="11" t="s">
        <v>17</v>
      </c>
      <c r="C857" s="11" t="s">
        <v>24</v>
      </c>
    </row>
    <row r="858" spans="1:7" ht="14.5" x14ac:dyDescent="0.35">
      <c r="A858" s="10">
        <v>61648</v>
      </c>
      <c r="B858" s="11" t="s">
        <v>17</v>
      </c>
      <c r="C858" s="11" t="s">
        <v>25</v>
      </c>
    </row>
    <row r="859" spans="1:7" ht="14.5" x14ac:dyDescent="0.35">
      <c r="A859" s="10">
        <v>61669</v>
      </c>
      <c r="B859" s="11" t="s">
        <v>17</v>
      </c>
      <c r="C859" s="11" t="s">
        <v>26</v>
      </c>
    </row>
    <row r="860" spans="1:7" ht="14.5" x14ac:dyDescent="0.35">
      <c r="A860" s="10">
        <v>61682</v>
      </c>
      <c r="B860" s="11" t="s">
        <v>22</v>
      </c>
      <c r="C860" s="11" t="s">
        <v>27</v>
      </c>
    </row>
    <row r="861" spans="1:7" ht="14.5" x14ac:dyDescent="0.35">
      <c r="A861" s="10">
        <v>61687</v>
      </c>
      <c r="B861" s="11" t="s">
        <v>16</v>
      </c>
      <c r="C861" s="11" t="s">
        <v>31</v>
      </c>
      <c r="G861" s="12"/>
    </row>
    <row r="862" spans="1:7" ht="14.5" x14ac:dyDescent="0.35">
      <c r="A862" s="10">
        <v>61722</v>
      </c>
      <c r="B862" s="11" t="s">
        <v>16</v>
      </c>
      <c r="C862" s="11" t="s">
        <v>28</v>
      </c>
    </row>
    <row r="863" spans="1:7" ht="14.5" x14ac:dyDescent="0.35">
      <c r="A863" s="8">
        <v>61729</v>
      </c>
      <c r="B863" s="9" t="s">
        <v>16</v>
      </c>
      <c r="C863" s="9" t="s">
        <v>14</v>
      </c>
    </row>
    <row r="864" spans="1:7" ht="14.5" x14ac:dyDescent="0.35">
      <c r="A864" s="8">
        <v>61784</v>
      </c>
      <c r="B864" s="9" t="s">
        <v>13</v>
      </c>
      <c r="C864" s="9" t="s">
        <v>15</v>
      </c>
    </row>
    <row r="865" spans="1:7" ht="14.5" x14ac:dyDescent="0.35">
      <c r="A865" s="8">
        <v>61785</v>
      </c>
      <c r="B865" s="9" t="s">
        <v>16</v>
      </c>
      <c r="C865" s="9" t="s">
        <v>15</v>
      </c>
    </row>
    <row r="866" spans="1:7" ht="14.5" x14ac:dyDescent="0.35">
      <c r="A866" s="8">
        <v>61830</v>
      </c>
      <c r="B866" s="9" t="s">
        <v>17</v>
      </c>
      <c r="C866" s="9" t="s">
        <v>18</v>
      </c>
    </row>
    <row r="867" spans="1:7" ht="14.5" x14ac:dyDescent="0.35">
      <c r="A867" s="8">
        <v>61839</v>
      </c>
      <c r="B867" s="9" t="s">
        <v>29</v>
      </c>
      <c r="C867" s="9" t="s">
        <v>20</v>
      </c>
    </row>
    <row r="868" spans="1:7" ht="14.5" x14ac:dyDescent="0.35">
      <c r="A868" s="8">
        <v>61849</v>
      </c>
      <c r="B868" s="9" t="s">
        <v>30</v>
      </c>
      <c r="C868" s="9" t="s">
        <v>21</v>
      </c>
    </row>
    <row r="869" spans="1:7" ht="14.5" x14ac:dyDescent="0.35">
      <c r="A869" s="8">
        <v>61892</v>
      </c>
      <c r="B869" s="9" t="s">
        <v>22</v>
      </c>
      <c r="C869" s="9" t="s">
        <v>23</v>
      </c>
    </row>
    <row r="870" spans="1:7" ht="14.5" x14ac:dyDescent="0.35">
      <c r="A870" s="8">
        <v>61978</v>
      </c>
      <c r="B870" s="9" t="s">
        <v>19</v>
      </c>
      <c r="C870" s="9" t="s">
        <v>24</v>
      </c>
    </row>
    <row r="871" spans="1:7" ht="14.5" x14ac:dyDescent="0.35">
      <c r="A871" s="8">
        <v>62013</v>
      </c>
      <c r="B871" s="9" t="s">
        <v>19</v>
      </c>
      <c r="C871" s="9" t="s">
        <v>25</v>
      </c>
    </row>
    <row r="872" spans="1:7" ht="14.5" x14ac:dyDescent="0.35">
      <c r="A872" s="8">
        <v>62034</v>
      </c>
      <c r="B872" s="9" t="s">
        <v>19</v>
      </c>
      <c r="C872" s="9" t="s">
        <v>26</v>
      </c>
    </row>
    <row r="873" spans="1:7" ht="14.5" x14ac:dyDescent="0.35">
      <c r="A873" s="8">
        <v>62047</v>
      </c>
      <c r="B873" s="9" t="s">
        <v>17</v>
      </c>
      <c r="C873" s="9" t="s">
        <v>27</v>
      </c>
    </row>
    <row r="874" spans="1:7" ht="14.5" x14ac:dyDescent="0.35">
      <c r="A874" s="8">
        <v>62052</v>
      </c>
      <c r="B874" s="9" t="s">
        <v>30</v>
      </c>
      <c r="C874" s="9" t="s">
        <v>31</v>
      </c>
      <c r="G874" s="12"/>
    </row>
    <row r="875" spans="1:7" ht="14.5" x14ac:dyDescent="0.35">
      <c r="A875" s="8">
        <v>62087</v>
      </c>
      <c r="B875" s="9" t="s">
        <v>30</v>
      </c>
      <c r="C875" s="9" t="s">
        <v>28</v>
      </c>
    </row>
    <row r="876" spans="1:7" ht="14.5" x14ac:dyDescent="0.35">
      <c r="A876" s="10">
        <v>62094</v>
      </c>
      <c r="B876" s="11" t="s">
        <v>30</v>
      </c>
      <c r="C876" s="11" t="s">
        <v>14</v>
      </c>
    </row>
    <row r="877" spans="1:7" ht="14.5" x14ac:dyDescent="0.35">
      <c r="A877" s="10">
        <v>62134</v>
      </c>
      <c r="B877" s="11" t="s">
        <v>13</v>
      </c>
      <c r="C877" s="11" t="s">
        <v>15</v>
      </c>
    </row>
    <row r="878" spans="1:7" ht="14.5" x14ac:dyDescent="0.35">
      <c r="A878" s="10">
        <v>62135</v>
      </c>
      <c r="B878" s="11" t="s">
        <v>16</v>
      </c>
      <c r="C878" s="11" t="s">
        <v>15</v>
      </c>
    </row>
    <row r="879" spans="1:7" ht="14.5" x14ac:dyDescent="0.35">
      <c r="A879" s="10">
        <v>62180</v>
      </c>
      <c r="B879" s="11" t="s">
        <v>17</v>
      </c>
      <c r="C879" s="11" t="s">
        <v>18</v>
      </c>
    </row>
    <row r="880" spans="1:7" ht="14.5" x14ac:dyDescent="0.35">
      <c r="A880" s="10">
        <v>62204</v>
      </c>
      <c r="B880" s="11" t="s">
        <v>13</v>
      </c>
      <c r="C880" s="11" t="s">
        <v>20</v>
      </c>
    </row>
    <row r="881" spans="1:7" ht="14.5" x14ac:dyDescent="0.35">
      <c r="A881" s="10">
        <v>62214</v>
      </c>
      <c r="B881" s="11" t="s">
        <v>22</v>
      </c>
      <c r="C881" s="11" t="s">
        <v>21</v>
      </c>
    </row>
    <row r="882" spans="1:7" ht="14.5" x14ac:dyDescent="0.35">
      <c r="A882" s="10">
        <v>62242</v>
      </c>
      <c r="B882" s="11" t="s">
        <v>22</v>
      </c>
      <c r="C882" s="11" t="s">
        <v>23</v>
      </c>
    </row>
    <row r="883" spans="1:7" ht="14.5" x14ac:dyDescent="0.35">
      <c r="A883" s="10">
        <v>62343</v>
      </c>
      <c r="B883" s="11" t="s">
        <v>29</v>
      </c>
      <c r="C883" s="11" t="s">
        <v>24</v>
      </c>
    </row>
    <row r="884" spans="1:7" ht="14.5" x14ac:dyDescent="0.35">
      <c r="A884" s="10">
        <v>62378</v>
      </c>
      <c r="B884" s="11" t="s">
        <v>29</v>
      </c>
      <c r="C884" s="11" t="s">
        <v>25</v>
      </c>
    </row>
    <row r="885" spans="1:7" ht="14.5" x14ac:dyDescent="0.35">
      <c r="A885" s="10">
        <v>62399</v>
      </c>
      <c r="B885" s="11" t="s">
        <v>29</v>
      </c>
      <c r="C885" s="11" t="s">
        <v>26</v>
      </c>
    </row>
    <row r="886" spans="1:7" ht="14.5" x14ac:dyDescent="0.35">
      <c r="A886" s="10">
        <v>62412</v>
      </c>
      <c r="B886" s="11" t="s">
        <v>19</v>
      </c>
      <c r="C886" s="11" t="s">
        <v>27</v>
      </c>
    </row>
    <row r="887" spans="1:7" ht="14.5" x14ac:dyDescent="0.35">
      <c r="A887" s="10">
        <v>62417</v>
      </c>
      <c r="B887" s="11" t="s">
        <v>22</v>
      </c>
      <c r="C887" s="11" t="s">
        <v>31</v>
      </c>
      <c r="G887" s="12"/>
    </row>
    <row r="888" spans="1:7" ht="14.5" x14ac:dyDescent="0.35">
      <c r="A888" s="10">
        <v>62452</v>
      </c>
      <c r="B888" s="11" t="s">
        <v>22</v>
      </c>
      <c r="C888" s="11" t="s">
        <v>28</v>
      </c>
    </row>
    <row r="889" spans="1:7" ht="14.5" x14ac:dyDescent="0.35">
      <c r="A889" s="8">
        <v>62459</v>
      </c>
      <c r="B889" s="9" t="s">
        <v>22</v>
      </c>
      <c r="C889" s="9" t="s">
        <v>14</v>
      </c>
    </row>
    <row r="890" spans="1:7" ht="14.5" x14ac:dyDescent="0.35">
      <c r="A890" s="8">
        <v>62519</v>
      </c>
      <c r="B890" s="9" t="s">
        <v>13</v>
      </c>
      <c r="C890" s="9" t="s">
        <v>15</v>
      </c>
    </row>
    <row r="891" spans="1:7" ht="14.5" x14ac:dyDescent="0.35">
      <c r="A891" s="8">
        <v>62520</v>
      </c>
      <c r="B891" s="9" t="s">
        <v>16</v>
      </c>
      <c r="C891" s="9" t="s">
        <v>15</v>
      </c>
    </row>
    <row r="892" spans="1:7" ht="14.5" x14ac:dyDescent="0.35">
      <c r="A892" s="8">
        <v>62565</v>
      </c>
      <c r="B892" s="9" t="s">
        <v>17</v>
      </c>
      <c r="C892" s="9" t="s">
        <v>18</v>
      </c>
    </row>
    <row r="893" spans="1:7" ht="14.5" x14ac:dyDescent="0.35">
      <c r="A893" s="8">
        <v>62569</v>
      </c>
      <c r="B893" s="9" t="s">
        <v>16</v>
      </c>
      <c r="C893" s="9" t="s">
        <v>20</v>
      </c>
    </row>
    <row r="894" spans="1:7" ht="14.5" x14ac:dyDescent="0.35">
      <c r="A894" s="8">
        <v>62579</v>
      </c>
      <c r="B894" s="9" t="s">
        <v>17</v>
      </c>
      <c r="C894" s="9" t="s">
        <v>21</v>
      </c>
    </row>
    <row r="895" spans="1:7" ht="14.5" x14ac:dyDescent="0.35">
      <c r="A895" s="8">
        <v>62627</v>
      </c>
      <c r="B895" s="9" t="s">
        <v>22</v>
      </c>
      <c r="C895" s="9" t="s">
        <v>23</v>
      </c>
    </row>
    <row r="896" spans="1:7" ht="14.5" x14ac:dyDescent="0.35">
      <c r="A896" s="8">
        <v>62708</v>
      </c>
      <c r="B896" s="9" t="s">
        <v>13</v>
      </c>
      <c r="C896" s="9" t="s">
        <v>24</v>
      </c>
    </row>
    <row r="897" spans="1:7" ht="14.5" x14ac:dyDescent="0.35">
      <c r="A897" s="8">
        <v>62743</v>
      </c>
      <c r="B897" s="9" t="s">
        <v>13</v>
      </c>
      <c r="C897" s="9" t="s">
        <v>25</v>
      </c>
    </row>
    <row r="898" spans="1:7" ht="14.5" x14ac:dyDescent="0.35">
      <c r="A898" s="8">
        <v>62764</v>
      </c>
      <c r="B898" s="9" t="s">
        <v>13</v>
      </c>
      <c r="C898" s="9" t="s">
        <v>26</v>
      </c>
    </row>
    <row r="899" spans="1:7" ht="14.5" x14ac:dyDescent="0.35">
      <c r="A899" s="8">
        <v>62777</v>
      </c>
      <c r="B899" s="9" t="s">
        <v>29</v>
      </c>
      <c r="C899" s="9" t="s">
        <v>27</v>
      </c>
    </row>
    <row r="900" spans="1:7" ht="14.5" x14ac:dyDescent="0.35">
      <c r="A900" s="8">
        <v>62782</v>
      </c>
      <c r="B900" s="9" t="s">
        <v>17</v>
      </c>
      <c r="C900" s="9" t="s">
        <v>31</v>
      </c>
      <c r="G900" s="12"/>
    </row>
    <row r="901" spans="1:7" ht="14.5" x14ac:dyDescent="0.35">
      <c r="A901" s="8">
        <v>62817</v>
      </c>
      <c r="B901" s="9" t="s">
        <v>17</v>
      </c>
      <c r="C901" s="9" t="s">
        <v>28</v>
      </c>
    </row>
    <row r="902" spans="1:7" ht="14.5" x14ac:dyDescent="0.35">
      <c r="A902" s="10">
        <v>62824</v>
      </c>
      <c r="B902" s="11" t="s">
        <v>17</v>
      </c>
      <c r="C902" s="11" t="s">
        <v>14</v>
      </c>
    </row>
    <row r="903" spans="1:7" ht="14.5" x14ac:dyDescent="0.35">
      <c r="A903" s="10">
        <v>62876</v>
      </c>
      <c r="B903" s="11" t="s">
        <v>13</v>
      </c>
      <c r="C903" s="11" t="s">
        <v>15</v>
      </c>
    </row>
    <row r="904" spans="1:7" ht="14.5" x14ac:dyDescent="0.35">
      <c r="A904" s="10">
        <v>62877</v>
      </c>
      <c r="B904" s="11" t="s">
        <v>16</v>
      </c>
      <c r="C904" s="11" t="s">
        <v>15</v>
      </c>
    </row>
    <row r="905" spans="1:7" ht="14.5" x14ac:dyDescent="0.35">
      <c r="A905" s="10">
        <v>62922</v>
      </c>
      <c r="B905" s="11" t="s">
        <v>17</v>
      </c>
      <c r="C905" s="11" t="s">
        <v>18</v>
      </c>
    </row>
    <row r="906" spans="1:7" ht="14.5" x14ac:dyDescent="0.35">
      <c r="A906" s="10">
        <v>62935</v>
      </c>
      <c r="B906" s="11" t="s">
        <v>22</v>
      </c>
      <c r="C906" s="11" t="s">
        <v>20</v>
      </c>
    </row>
    <row r="907" spans="1:7" ht="14.5" x14ac:dyDescent="0.35">
      <c r="A907" s="10">
        <v>62945</v>
      </c>
      <c r="B907" s="11" t="s">
        <v>29</v>
      </c>
      <c r="C907" s="11" t="s">
        <v>21</v>
      </c>
    </row>
    <row r="908" spans="1:7" ht="14.5" x14ac:dyDescent="0.35">
      <c r="A908" s="10">
        <v>62984</v>
      </c>
      <c r="B908" s="11" t="s">
        <v>22</v>
      </c>
      <c r="C908" s="11" t="s">
        <v>23</v>
      </c>
    </row>
    <row r="909" spans="1:7" ht="14.5" x14ac:dyDescent="0.35">
      <c r="A909" s="10">
        <v>63074</v>
      </c>
      <c r="B909" s="11" t="s">
        <v>30</v>
      </c>
      <c r="C909" s="11" t="s">
        <v>24</v>
      </c>
    </row>
    <row r="910" spans="1:7" ht="14.5" x14ac:dyDescent="0.35">
      <c r="A910" s="10">
        <v>63109</v>
      </c>
      <c r="B910" s="11" t="s">
        <v>30</v>
      </c>
      <c r="C910" s="11" t="s">
        <v>25</v>
      </c>
    </row>
    <row r="911" spans="1:7" ht="14.5" x14ac:dyDescent="0.35">
      <c r="A911" s="10">
        <v>63130</v>
      </c>
      <c r="B911" s="11" t="s">
        <v>30</v>
      </c>
      <c r="C911" s="11" t="s">
        <v>26</v>
      </c>
    </row>
    <row r="912" spans="1:7" ht="14.5" x14ac:dyDescent="0.35">
      <c r="A912" s="10">
        <v>63143</v>
      </c>
      <c r="B912" s="11" t="s">
        <v>16</v>
      </c>
      <c r="C912" s="11" t="s">
        <v>27</v>
      </c>
    </row>
    <row r="913" spans="1:7" ht="14.5" x14ac:dyDescent="0.35">
      <c r="A913" s="10">
        <v>63148</v>
      </c>
      <c r="B913" s="11" t="s">
        <v>29</v>
      </c>
      <c r="C913" s="11" t="s">
        <v>31</v>
      </c>
      <c r="G913" s="12"/>
    </row>
    <row r="914" spans="1:7" ht="14.5" x14ac:dyDescent="0.35">
      <c r="A914" s="10">
        <v>63183</v>
      </c>
      <c r="B914" s="11" t="s">
        <v>29</v>
      </c>
      <c r="C914" s="11" t="s">
        <v>28</v>
      </c>
    </row>
    <row r="915" spans="1:7" ht="14.5" x14ac:dyDescent="0.35">
      <c r="A915" s="8">
        <v>63190</v>
      </c>
      <c r="B915" s="9" t="s">
        <v>29</v>
      </c>
      <c r="C915" s="9" t="s">
        <v>14</v>
      </c>
    </row>
    <row r="916" spans="1:7" ht="14.5" x14ac:dyDescent="0.35">
      <c r="A916" s="8">
        <v>63226</v>
      </c>
      <c r="B916" s="9" t="s">
        <v>13</v>
      </c>
      <c r="C916" s="9" t="s">
        <v>15</v>
      </c>
    </row>
    <row r="917" spans="1:7" ht="14.5" x14ac:dyDescent="0.35">
      <c r="A917" s="8">
        <v>63227</v>
      </c>
      <c r="B917" s="9" t="s">
        <v>16</v>
      </c>
      <c r="C917" s="9" t="s">
        <v>15</v>
      </c>
    </row>
    <row r="918" spans="1:7" ht="14.5" x14ac:dyDescent="0.35">
      <c r="A918" s="8">
        <v>63272</v>
      </c>
      <c r="B918" s="9" t="s">
        <v>17</v>
      </c>
      <c r="C918" s="9" t="s">
        <v>18</v>
      </c>
    </row>
    <row r="919" spans="1:7" ht="14.5" x14ac:dyDescent="0.35">
      <c r="A919" s="8">
        <v>63300</v>
      </c>
      <c r="B919" s="9" t="s">
        <v>17</v>
      </c>
      <c r="C919" s="9" t="s">
        <v>20</v>
      </c>
    </row>
    <row r="920" spans="1:7" ht="14.5" x14ac:dyDescent="0.35">
      <c r="A920" s="8">
        <v>63310</v>
      </c>
      <c r="B920" s="9" t="s">
        <v>13</v>
      </c>
      <c r="C920" s="9" t="s">
        <v>21</v>
      </c>
    </row>
    <row r="921" spans="1:7" ht="14.5" x14ac:dyDescent="0.35">
      <c r="A921" s="8">
        <v>63334</v>
      </c>
      <c r="B921" s="9" t="s">
        <v>22</v>
      </c>
      <c r="C921" s="9" t="s">
        <v>23</v>
      </c>
    </row>
    <row r="922" spans="1:7" ht="14.5" x14ac:dyDescent="0.35">
      <c r="A922" s="8">
        <v>63439</v>
      </c>
      <c r="B922" s="9" t="s">
        <v>22</v>
      </c>
      <c r="C922" s="9" t="s">
        <v>24</v>
      </c>
    </row>
    <row r="923" spans="1:7" ht="14.5" x14ac:dyDescent="0.35">
      <c r="A923" s="8">
        <v>63474</v>
      </c>
      <c r="B923" s="9" t="s">
        <v>22</v>
      </c>
      <c r="C923" s="9" t="s">
        <v>25</v>
      </c>
    </row>
    <row r="924" spans="1:7" ht="14.5" x14ac:dyDescent="0.35">
      <c r="A924" s="8">
        <v>63495</v>
      </c>
      <c r="B924" s="9" t="s">
        <v>22</v>
      </c>
      <c r="C924" s="9" t="s">
        <v>26</v>
      </c>
    </row>
    <row r="925" spans="1:7" ht="14.5" x14ac:dyDescent="0.35">
      <c r="A925" s="8">
        <v>63508</v>
      </c>
      <c r="B925" s="9" t="s">
        <v>30</v>
      </c>
      <c r="C925" s="9" t="s">
        <v>27</v>
      </c>
    </row>
    <row r="926" spans="1:7" ht="14.5" x14ac:dyDescent="0.35">
      <c r="A926" s="8">
        <v>63513</v>
      </c>
      <c r="B926" s="9" t="s">
        <v>13</v>
      </c>
      <c r="C926" s="9" t="s">
        <v>31</v>
      </c>
      <c r="G926" s="12"/>
    </row>
    <row r="927" spans="1:7" ht="14.5" x14ac:dyDescent="0.35">
      <c r="A927" s="8">
        <v>63548</v>
      </c>
      <c r="B927" s="9" t="s">
        <v>13</v>
      </c>
      <c r="C927" s="9" t="s">
        <v>28</v>
      </c>
    </row>
    <row r="928" spans="1:7" ht="14.5" x14ac:dyDescent="0.35">
      <c r="A928" s="10">
        <v>63555</v>
      </c>
      <c r="B928" s="11" t="s">
        <v>13</v>
      </c>
      <c r="C928" s="11" t="s">
        <v>14</v>
      </c>
    </row>
    <row r="929" spans="1:7" ht="14.5" x14ac:dyDescent="0.35">
      <c r="A929" s="10">
        <v>63611</v>
      </c>
      <c r="B929" s="11" t="s">
        <v>13</v>
      </c>
      <c r="C929" s="11" t="s">
        <v>15</v>
      </c>
    </row>
    <row r="930" spans="1:7" ht="14.5" x14ac:dyDescent="0.35">
      <c r="A930" s="10">
        <v>63612</v>
      </c>
      <c r="B930" s="11" t="s">
        <v>16</v>
      </c>
      <c r="C930" s="11" t="s">
        <v>15</v>
      </c>
    </row>
    <row r="931" spans="1:7" ht="14.5" x14ac:dyDescent="0.35">
      <c r="A931" s="10">
        <v>63657</v>
      </c>
      <c r="B931" s="11" t="s">
        <v>17</v>
      </c>
      <c r="C931" s="11" t="s">
        <v>18</v>
      </c>
    </row>
    <row r="932" spans="1:7" ht="14.5" x14ac:dyDescent="0.35">
      <c r="A932" s="10">
        <v>63665</v>
      </c>
      <c r="B932" s="11" t="s">
        <v>19</v>
      </c>
      <c r="C932" s="11" t="s">
        <v>20</v>
      </c>
    </row>
    <row r="933" spans="1:7" ht="14.5" x14ac:dyDescent="0.35">
      <c r="A933" s="10">
        <v>63675</v>
      </c>
      <c r="B933" s="11" t="s">
        <v>16</v>
      </c>
      <c r="C933" s="11" t="s">
        <v>21</v>
      </c>
    </row>
    <row r="934" spans="1:7" ht="14.5" x14ac:dyDescent="0.35">
      <c r="A934" s="10">
        <v>63719</v>
      </c>
      <c r="B934" s="11" t="s">
        <v>22</v>
      </c>
      <c r="C934" s="11" t="s">
        <v>23</v>
      </c>
    </row>
    <row r="935" spans="1:7" ht="14.5" x14ac:dyDescent="0.35">
      <c r="A935" s="10">
        <v>63804</v>
      </c>
      <c r="B935" s="11" t="s">
        <v>17</v>
      </c>
      <c r="C935" s="11" t="s">
        <v>24</v>
      </c>
    </row>
    <row r="936" spans="1:7" ht="14.5" x14ac:dyDescent="0.35">
      <c r="A936" s="10">
        <v>63839</v>
      </c>
      <c r="B936" s="11" t="s">
        <v>17</v>
      </c>
      <c r="C936" s="11" t="s">
        <v>25</v>
      </c>
    </row>
    <row r="937" spans="1:7" ht="14.5" x14ac:dyDescent="0.35">
      <c r="A937" s="10">
        <v>63860</v>
      </c>
      <c r="B937" s="11" t="s">
        <v>17</v>
      </c>
      <c r="C937" s="11" t="s">
        <v>26</v>
      </c>
    </row>
    <row r="938" spans="1:7" ht="14.5" x14ac:dyDescent="0.35">
      <c r="A938" s="10">
        <v>63873</v>
      </c>
      <c r="B938" s="11" t="s">
        <v>22</v>
      </c>
      <c r="C938" s="11" t="s">
        <v>27</v>
      </c>
    </row>
    <row r="939" spans="1:7" ht="14.5" x14ac:dyDescent="0.35">
      <c r="A939" s="10">
        <v>63878</v>
      </c>
      <c r="B939" s="11" t="s">
        <v>16</v>
      </c>
      <c r="C939" s="11" t="s">
        <v>31</v>
      </c>
      <c r="G939" s="12"/>
    </row>
    <row r="940" spans="1:7" ht="14.5" x14ac:dyDescent="0.35">
      <c r="A940" s="10">
        <v>63913</v>
      </c>
      <c r="B940" s="11" t="s">
        <v>16</v>
      </c>
      <c r="C940" s="11" t="s">
        <v>28</v>
      </c>
    </row>
    <row r="941" spans="1:7" ht="14.5" x14ac:dyDescent="0.35">
      <c r="A941" s="8">
        <v>63920</v>
      </c>
      <c r="B941" s="9" t="s">
        <v>16</v>
      </c>
      <c r="C941" s="9" t="s">
        <v>14</v>
      </c>
    </row>
    <row r="942" spans="1:7" ht="14.5" x14ac:dyDescent="0.35">
      <c r="A942" s="8">
        <v>63968</v>
      </c>
      <c r="B942" s="9" t="s">
        <v>13</v>
      </c>
      <c r="C942" s="9" t="s">
        <v>15</v>
      </c>
    </row>
    <row r="943" spans="1:7" ht="14.5" x14ac:dyDescent="0.35">
      <c r="A943" s="8">
        <v>63969</v>
      </c>
      <c r="B943" s="9" t="s">
        <v>16</v>
      </c>
      <c r="C943" s="9" t="s">
        <v>15</v>
      </c>
    </row>
    <row r="944" spans="1:7" ht="14.5" x14ac:dyDescent="0.35">
      <c r="A944" s="8">
        <v>64014</v>
      </c>
      <c r="B944" s="9" t="s">
        <v>17</v>
      </c>
      <c r="C944" s="9" t="s">
        <v>18</v>
      </c>
    </row>
    <row r="945" spans="1:7" ht="14.5" x14ac:dyDescent="0.35">
      <c r="A945" s="8">
        <v>64030</v>
      </c>
      <c r="B945" s="9" t="s">
        <v>29</v>
      </c>
      <c r="C945" s="9" t="s">
        <v>20</v>
      </c>
    </row>
    <row r="946" spans="1:7" ht="14.5" x14ac:dyDescent="0.35">
      <c r="A946" s="8">
        <v>64040</v>
      </c>
      <c r="B946" s="9" t="s">
        <v>30</v>
      </c>
      <c r="C946" s="9" t="s">
        <v>21</v>
      </c>
    </row>
    <row r="947" spans="1:7" ht="14.5" x14ac:dyDescent="0.35">
      <c r="A947" s="8">
        <v>64076</v>
      </c>
      <c r="B947" s="9" t="s">
        <v>22</v>
      </c>
      <c r="C947" s="9" t="s">
        <v>23</v>
      </c>
    </row>
    <row r="948" spans="1:7" ht="14.5" x14ac:dyDescent="0.35">
      <c r="A948" s="8">
        <v>64169</v>
      </c>
      <c r="B948" s="9" t="s">
        <v>19</v>
      </c>
      <c r="C948" s="9" t="s">
        <v>24</v>
      </c>
    </row>
    <row r="949" spans="1:7" ht="14.5" x14ac:dyDescent="0.35">
      <c r="A949" s="8">
        <v>64204</v>
      </c>
      <c r="B949" s="9" t="s">
        <v>19</v>
      </c>
      <c r="C949" s="9" t="s">
        <v>25</v>
      </c>
    </row>
    <row r="950" spans="1:7" ht="14.5" x14ac:dyDescent="0.35">
      <c r="A950" s="8">
        <v>64225</v>
      </c>
      <c r="B950" s="9" t="s">
        <v>19</v>
      </c>
      <c r="C950" s="9" t="s">
        <v>26</v>
      </c>
    </row>
    <row r="951" spans="1:7" ht="14.5" x14ac:dyDescent="0.35">
      <c r="A951" s="8">
        <v>64238</v>
      </c>
      <c r="B951" s="9" t="s">
        <v>17</v>
      </c>
      <c r="C951" s="9" t="s">
        <v>27</v>
      </c>
    </row>
    <row r="952" spans="1:7" ht="14.5" x14ac:dyDescent="0.35">
      <c r="A952" s="8">
        <v>64243</v>
      </c>
      <c r="B952" s="9" t="s">
        <v>30</v>
      </c>
      <c r="C952" s="9" t="s">
        <v>31</v>
      </c>
      <c r="G952" s="12"/>
    </row>
    <row r="953" spans="1:7" ht="14.5" x14ac:dyDescent="0.35">
      <c r="A953" s="8">
        <v>64278</v>
      </c>
      <c r="B953" s="9" t="s">
        <v>30</v>
      </c>
      <c r="C953" s="9" t="s">
        <v>28</v>
      </c>
    </row>
    <row r="954" spans="1:7" ht="14.5" x14ac:dyDescent="0.35">
      <c r="A954" s="10">
        <v>64285</v>
      </c>
      <c r="B954" s="11" t="s">
        <v>30</v>
      </c>
      <c r="C954" s="11" t="s">
        <v>14</v>
      </c>
    </row>
    <row r="955" spans="1:7" ht="14.5" x14ac:dyDescent="0.35">
      <c r="A955" s="10">
        <v>64346</v>
      </c>
      <c r="B955" s="11" t="s">
        <v>13</v>
      </c>
      <c r="C955" s="11" t="s">
        <v>15</v>
      </c>
    </row>
    <row r="956" spans="1:7" ht="14.5" x14ac:dyDescent="0.35">
      <c r="A956" s="10">
        <v>64347</v>
      </c>
      <c r="B956" s="11" t="s">
        <v>16</v>
      </c>
      <c r="C956" s="11" t="s">
        <v>15</v>
      </c>
    </row>
    <row r="957" spans="1:7" ht="14.5" x14ac:dyDescent="0.35">
      <c r="A957" s="10">
        <v>64392</v>
      </c>
      <c r="B957" s="11" t="s">
        <v>17</v>
      </c>
      <c r="C957" s="11" t="s">
        <v>18</v>
      </c>
    </row>
    <row r="958" spans="1:7" ht="14.5" x14ac:dyDescent="0.35">
      <c r="A958" s="10">
        <v>64396</v>
      </c>
      <c r="B958" s="11" t="s">
        <v>16</v>
      </c>
      <c r="C958" s="11" t="s">
        <v>20</v>
      </c>
    </row>
    <row r="959" spans="1:7" ht="14.5" x14ac:dyDescent="0.35">
      <c r="A959" s="10">
        <v>64406</v>
      </c>
      <c r="B959" s="11" t="s">
        <v>17</v>
      </c>
      <c r="C959" s="11" t="s">
        <v>21</v>
      </c>
    </row>
    <row r="960" spans="1:7" ht="14.5" x14ac:dyDescent="0.35">
      <c r="A960" s="10">
        <v>64454</v>
      </c>
      <c r="B960" s="11" t="s">
        <v>22</v>
      </c>
      <c r="C960" s="11" t="s">
        <v>23</v>
      </c>
    </row>
    <row r="961" spans="1:7" ht="14.5" x14ac:dyDescent="0.35">
      <c r="A961" s="10">
        <v>64535</v>
      </c>
      <c r="B961" s="11" t="s">
        <v>13</v>
      </c>
      <c r="C961" s="11" t="s">
        <v>24</v>
      </c>
    </row>
    <row r="962" spans="1:7" ht="14.5" x14ac:dyDescent="0.35">
      <c r="A962" s="10">
        <v>64570</v>
      </c>
      <c r="B962" s="11" t="s">
        <v>13</v>
      </c>
      <c r="C962" s="11" t="s">
        <v>25</v>
      </c>
    </row>
    <row r="963" spans="1:7" ht="14.5" x14ac:dyDescent="0.35">
      <c r="A963" s="10">
        <v>64591</v>
      </c>
      <c r="B963" s="11" t="s">
        <v>13</v>
      </c>
      <c r="C963" s="11" t="s">
        <v>26</v>
      </c>
    </row>
    <row r="964" spans="1:7" ht="14.5" x14ac:dyDescent="0.35">
      <c r="A964" s="10">
        <v>64604</v>
      </c>
      <c r="B964" s="11" t="s">
        <v>29</v>
      </c>
      <c r="C964" s="11" t="s">
        <v>27</v>
      </c>
    </row>
    <row r="965" spans="1:7" ht="14.5" x14ac:dyDescent="0.35">
      <c r="A965" s="10">
        <v>64609</v>
      </c>
      <c r="B965" s="11" t="s">
        <v>17</v>
      </c>
      <c r="C965" s="11" t="s">
        <v>31</v>
      </c>
      <c r="G965" s="12"/>
    </row>
    <row r="966" spans="1:7" ht="14.5" x14ac:dyDescent="0.35">
      <c r="A966" s="10">
        <v>64644</v>
      </c>
      <c r="B966" s="11" t="s">
        <v>17</v>
      </c>
      <c r="C966" s="11" t="s">
        <v>28</v>
      </c>
    </row>
    <row r="967" spans="1:7" ht="14.5" x14ac:dyDescent="0.35">
      <c r="A967" s="8">
        <v>64651</v>
      </c>
      <c r="B967" s="9" t="s">
        <v>17</v>
      </c>
      <c r="C967" s="9" t="s">
        <v>14</v>
      </c>
    </row>
    <row r="968" spans="1:7" ht="14.5" x14ac:dyDescent="0.35">
      <c r="A968" s="8">
        <v>64703</v>
      </c>
      <c r="B968" s="9" t="s">
        <v>13</v>
      </c>
      <c r="C968" s="9" t="s">
        <v>15</v>
      </c>
    </row>
    <row r="969" spans="1:7" ht="14.5" x14ac:dyDescent="0.35">
      <c r="A969" s="8">
        <v>64704</v>
      </c>
      <c r="B969" s="9" t="s">
        <v>16</v>
      </c>
      <c r="C969" s="9" t="s">
        <v>15</v>
      </c>
    </row>
    <row r="970" spans="1:7" ht="14.5" x14ac:dyDescent="0.35">
      <c r="A970" s="8">
        <v>64749</v>
      </c>
      <c r="B970" s="9" t="s">
        <v>17</v>
      </c>
      <c r="C970" s="9" t="s">
        <v>18</v>
      </c>
    </row>
    <row r="971" spans="1:7" ht="14.5" x14ac:dyDescent="0.35">
      <c r="A971" s="8">
        <v>64761</v>
      </c>
      <c r="B971" s="9" t="s">
        <v>30</v>
      </c>
      <c r="C971" s="9" t="s">
        <v>20</v>
      </c>
    </row>
    <row r="972" spans="1:7" ht="14.5" x14ac:dyDescent="0.35">
      <c r="A972" s="8">
        <v>64771</v>
      </c>
      <c r="B972" s="9" t="s">
        <v>19</v>
      </c>
      <c r="C972" s="9" t="s">
        <v>21</v>
      </c>
    </row>
    <row r="973" spans="1:7" ht="14.5" x14ac:dyDescent="0.35">
      <c r="A973" s="8">
        <v>64811</v>
      </c>
      <c r="B973" s="9" t="s">
        <v>22</v>
      </c>
      <c r="C973" s="9" t="s">
        <v>23</v>
      </c>
    </row>
    <row r="974" spans="1:7" ht="14.5" x14ac:dyDescent="0.35">
      <c r="A974" s="8">
        <v>64900</v>
      </c>
      <c r="B974" s="9" t="s">
        <v>16</v>
      </c>
      <c r="C974" s="9" t="s">
        <v>24</v>
      </c>
    </row>
    <row r="975" spans="1:7" ht="14.5" x14ac:dyDescent="0.35">
      <c r="A975" s="8">
        <v>64935</v>
      </c>
      <c r="B975" s="9" t="s">
        <v>16</v>
      </c>
      <c r="C975" s="9" t="s">
        <v>25</v>
      </c>
    </row>
    <row r="976" spans="1:7" ht="14.5" x14ac:dyDescent="0.35">
      <c r="A976" s="8">
        <v>64956</v>
      </c>
      <c r="B976" s="9" t="s">
        <v>16</v>
      </c>
      <c r="C976" s="9" t="s">
        <v>26</v>
      </c>
    </row>
    <row r="977" spans="1:7" ht="14.5" x14ac:dyDescent="0.35">
      <c r="A977" s="8">
        <v>64969</v>
      </c>
      <c r="B977" s="9" t="s">
        <v>13</v>
      </c>
      <c r="C977" s="9" t="s">
        <v>27</v>
      </c>
    </row>
    <row r="978" spans="1:7" ht="14.5" x14ac:dyDescent="0.35">
      <c r="A978" s="8">
        <v>64974</v>
      </c>
      <c r="B978" s="9" t="s">
        <v>19</v>
      </c>
      <c r="C978" s="9" t="s">
        <v>31</v>
      </c>
      <c r="G978" s="12"/>
    </row>
    <row r="979" spans="1:7" ht="14.5" x14ac:dyDescent="0.35">
      <c r="A979" s="8">
        <v>65009</v>
      </c>
      <c r="B979" s="9" t="s">
        <v>19</v>
      </c>
      <c r="C979" s="9" t="s">
        <v>28</v>
      </c>
    </row>
    <row r="980" spans="1:7" ht="14.5" x14ac:dyDescent="0.35">
      <c r="A980" s="10">
        <v>65016</v>
      </c>
      <c r="B980" s="11" t="s">
        <v>19</v>
      </c>
      <c r="C980" s="11" t="s">
        <v>14</v>
      </c>
    </row>
    <row r="981" spans="1:7" ht="14.5" x14ac:dyDescent="0.35">
      <c r="A981" s="10">
        <v>65060</v>
      </c>
      <c r="B981" s="11" t="s">
        <v>13</v>
      </c>
      <c r="C981" s="11" t="s">
        <v>15</v>
      </c>
    </row>
    <row r="982" spans="1:7" ht="14.5" x14ac:dyDescent="0.35">
      <c r="A982" s="10">
        <v>65061</v>
      </c>
      <c r="B982" s="11" t="s">
        <v>16</v>
      </c>
      <c r="C982" s="11" t="s">
        <v>15</v>
      </c>
    </row>
    <row r="983" spans="1:7" ht="14.5" x14ac:dyDescent="0.35">
      <c r="A983" s="10">
        <v>65106</v>
      </c>
      <c r="B983" s="11" t="s">
        <v>17</v>
      </c>
      <c r="C983" s="11" t="s">
        <v>18</v>
      </c>
    </row>
    <row r="984" spans="1:7" ht="14.5" x14ac:dyDescent="0.35">
      <c r="A984" s="10">
        <v>65126</v>
      </c>
      <c r="B984" s="11" t="s">
        <v>22</v>
      </c>
      <c r="C984" s="11" t="s">
        <v>20</v>
      </c>
    </row>
    <row r="985" spans="1:7" ht="14.5" x14ac:dyDescent="0.35">
      <c r="A985" s="10">
        <v>65136</v>
      </c>
      <c r="B985" s="11" t="s">
        <v>29</v>
      </c>
      <c r="C985" s="11" t="s">
        <v>21</v>
      </c>
    </row>
    <row r="986" spans="1:7" ht="14.5" x14ac:dyDescent="0.35">
      <c r="A986" s="10">
        <v>65168</v>
      </c>
      <c r="B986" s="11" t="s">
        <v>22</v>
      </c>
      <c r="C986" s="11" t="s">
        <v>23</v>
      </c>
    </row>
    <row r="987" spans="1:7" ht="14.5" x14ac:dyDescent="0.35">
      <c r="A987" s="10">
        <v>65265</v>
      </c>
      <c r="B987" s="11" t="s">
        <v>30</v>
      </c>
      <c r="C987" s="11" t="s">
        <v>24</v>
      </c>
    </row>
    <row r="988" spans="1:7" ht="14.5" x14ac:dyDescent="0.35">
      <c r="A988" s="10">
        <v>65300</v>
      </c>
      <c r="B988" s="11" t="s">
        <v>30</v>
      </c>
      <c r="C988" s="11" t="s">
        <v>25</v>
      </c>
    </row>
    <row r="989" spans="1:7" ht="14.5" x14ac:dyDescent="0.35">
      <c r="A989" s="10">
        <v>65321</v>
      </c>
      <c r="B989" s="11" t="s">
        <v>30</v>
      </c>
      <c r="C989" s="11" t="s">
        <v>26</v>
      </c>
    </row>
    <row r="990" spans="1:7" ht="14.5" x14ac:dyDescent="0.35">
      <c r="A990" s="10">
        <v>65334</v>
      </c>
      <c r="B990" s="11" t="s">
        <v>16</v>
      </c>
      <c r="C990" s="11" t="s">
        <v>27</v>
      </c>
    </row>
    <row r="991" spans="1:7" ht="14.5" x14ac:dyDescent="0.35">
      <c r="A991" s="10">
        <v>65339</v>
      </c>
      <c r="B991" s="11" t="s">
        <v>29</v>
      </c>
      <c r="C991" s="11" t="s">
        <v>31</v>
      </c>
      <c r="G991" s="12"/>
    </row>
    <row r="992" spans="1:7" ht="14.5" x14ac:dyDescent="0.35">
      <c r="A992" s="10">
        <v>65374</v>
      </c>
      <c r="B992" s="11" t="s">
        <v>29</v>
      </c>
      <c r="C992" s="11" t="s">
        <v>28</v>
      </c>
    </row>
    <row r="993" spans="1:7" ht="14.5" x14ac:dyDescent="0.35">
      <c r="A993" s="8">
        <v>65381</v>
      </c>
      <c r="B993" s="9" t="s">
        <v>29</v>
      </c>
      <c r="C993" s="9" t="s">
        <v>14</v>
      </c>
    </row>
    <row r="994" spans="1:7" ht="14.5" x14ac:dyDescent="0.35">
      <c r="A994" s="8">
        <v>65445</v>
      </c>
      <c r="B994" s="9" t="s">
        <v>13</v>
      </c>
      <c r="C994" s="9" t="s">
        <v>15</v>
      </c>
    </row>
    <row r="995" spans="1:7" ht="14.5" x14ac:dyDescent="0.35">
      <c r="A995" s="8">
        <v>65446</v>
      </c>
      <c r="B995" s="9" t="s">
        <v>16</v>
      </c>
      <c r="C995" s="9" t="s">
        <v>15</v>
      </c>
    </row>
    <row r="996" spans="1:7" ht="14.5" x14ac:dyDescent="0.35">
      <c r="A996" s="8">
        <v>65491</v>
      </c>
      <c r="B996" s="9" t="s">
        <v>17</v>
      </c>
      <c r="C996" s="9" t="s">
        <v>18</v>
      </c>
    </row>
    <row r="997" spans="1:7" ht="14.5" x14ac:dyDescent="0.35">
      <c r="A997" s="8">
        <v>65491</v>
      </c>
      <c r="B997" s="9" t="s">
        <v>17</v>
      </c>
      <c r="C997" s="9" t="s">
        <v>20</v>
      </c>
    </row>
    <row r="998" spans="1:7" ht="14.5" x14ac:dyDescent="0.35">
      <c r="A998" s="8">
        <v>65501</v>
      </c>
      <c r="B998" s="9" t="s">
        <v>13</v>
      </c>
      <c r="C998" s="9" t="s">
        <v>21</v>
      </c>
    </row>
    <row r="999" spans="1:7" ht="14.5" x14ac:dyDescent="0.35">
      <c r="A999" s="8">
        <v>65553</v>
      </c>
      <c r="B999" s="9" t="s">
        <v>22</v>
      </c>
      <c r="C999" s="9" t="s">
        <v>23</v>
      </c>
    </row>
    <row r="1000" spans="1:7" ht="14.5" x14ac:dyDescent="0.35">
      <c r="A1000" s="8">
        <v>65630</v>
      </c>
      <c r="B1000" s="9" t="s">
        <v>22</v>
      </c>
      <c r="C1000" s="9" t="s">
        <v>24</v>
      </c>
    </row>
    <row r="1001" spans="1:7" ht="14.5" x14ac:dyDescent="0.35">
      <c r="A1001" s="8">
        <v>65665</v>
      </c>
      <c r="B1001" s="9" t="s">
        <v>22</v>
      </c>
      <c r="C1001" s="9" t="s">
        <v>25</v>
      </c>
    </row>
    <row r="1002" spans="1:7" ht="14.5" x14ac:dyDescent="0.35">
      <c r="A1002" s="8">
        <v>65686</v>
      </c>
      <c r="B1002" s="9" t="s">
        <v>22</v>
      </c>
      <c r="C1002" s="9" t="s">
        <v>26</v>
      </c>
    </row>
    <row r="1003" spans="1:7" ht="14.5" x14ac:dyDescent="0.35">
      <c r="A1003" s="8">
        <v>65699</v>
      </c>
      <c r="B1003" s="9" t="s">
        <v>30</v>
      </c>
      <c r="C1003" s="9" t="s">
        <v>27</v>
      </c>
    </row>
    <row r="1004" spans="1:7" ht="14.5" x14ac:dyDescent="0.35">
      <c r="A1004" s="8">
        <v>65704</v>
      </c>
      <c r="B1004" s="9" t="s">
        <v>13</v>
      </c>
      <c r="C1004" s="9" t="s">
        <v>31</v>
      </c>
      <c r="G1004" s="12"/>
    </row>
    <row r="1005" spans="1:7" ht="14.5" x14ac:dyDescent="0.35">
      <c r="A1005" s="8">
        <v>65739</v>
      </c>
      <c r="B1005" s="9" t="s">
        <v>13</v>
      </c>
      <c r="C1005" s="9" t="s">
        <v>28</v>
      </c>
    </row>
    <row r="1006" spans="1:7" ht="14.5" x14ac:dyDescent="0.35">
      <c r="A1006" s="10">
        <v>65746</v>
      </c>
      <c r="B1006" s="11" t="s">
        <v>13</v>
      </c>
      <c r="C1006" s="11" t="s">
        <v>14</v>
      </c>
    </row>
    <row r="1007" spans="1:7" ht="14.5" x14ac:dyDescent="0.35">
      <c r="A1007" s="10">
        <v>65795</v>
      </c>
      <c r="B1007" s="11" t="s">
        <v>13</v>
      </c>
      <c r="C1007" s="11" t="s">
        <v>15</v>
      </c>
    </row>
    <row r="1008" spans="1:7" ht="14.5" x14ac:dyDescent="0.35">
      <c r="A1008" s="10">
        <v>65796</v>
      </c>
      <c r="B1008" s="11" t="s">
        <v>16</v>
      </c>
      <c r="C1008" s="11" t="s">
        <v>15</v>
      </c>
    </row>
    <row r="1009" spans="1:7" ht="14.5" x14ac:dyDescent="0.35">
      <c r="A1009" s="10">
        <v>65841</v>
      </c>
      <c r="B1009" s="11" t="s">
        <v>17</v>
      </c>
      <c r="C1009" s="11" t="s">
        <v>18</v>
      </c>
    </row>
    <row r="1010" spans="1:7" ht="14.5" x14ac:dyDescent="0.35">
      <c r="A1010" s="10">
        <v>65857</v>
      </c>
      <c r="B1010" s="11" t="s">
        <v>29</v>
      </c>
      <c r="C1010" s="11" t="s">
        <v>20</v>
      </c>
    </row>
    <row r="1011" spans="1:7" ht="14.5" x14ac:dyDescent="0.35">
      <c r="A1011" s="10">
        <v>65867</v>
      </c>
      <c r="B1011" s="11" t="s">
        <v>30</v>
      </c>
      <c r="C1011" s="11" t="s">
        <v>21</v>
      </c>
    </row>
    <row r="1012" spans="1:7" ht="14.5" x14ac:dyDescent="0.35">
      <c r="A1012" s="10">
        <v>65903</v>
      </c>
      <c r="B1012" s="11" t="s">
        <v>22</v>
      </c>
      <c r="C1012" s="11" t="s">
        <v>23</v>
      </c>
    </row>
    <row r="1013" spans="1:7" ht="14.5" x14ac:dyDescent="0.35">
      <c r="A1013" s="10">
        <v>65996</v>
      </c>
      <c r="B1013" s="11" t="s">
        <v>19</v>
      </c>
      <c r="C1013" s="11" t="s">
        <v>24</v>
      </c>
    </row>
    <row r="1014" spans="1:7" ht="14.5" x14ac:dyDescent="0.35">
      <c r="A1014" s="10">
        <v>66031</v>
      </c>
      <c r="B1014" s="11" t="s">
        <v>19</v>
      </c>
      <c r="C1014" s="11" t="s">
        <v>25</v>
      </c>
    </row>
    <row r="1015" spans="1:7" ht="14.5" x14ac:dyDescent="0.35">
      <c r="A1015" s="10">
        <v>66052</v>
      </c>
      <c r="B1015" s="11" t="s">
        <v>19</v>
      </c>
      <c r="C1015" s="11" t="s">
        <v>26</v>
      </c>
    </row>
    <row r="1016" spans="1:7" ht="14.5" x14ac:dyDescent="0.35">
      <c r="A1016" s="10">
        <v>66065</v>
      </c>
      <c r="B1016" s="11" t="s">
        <v>17</v>
      </c>
      <c r="C1016" s="11" t="s">
        <v>27</v>
      </c>
    </row>
    <row r="1017" spans="1:7" ht="14.5" x14ac:dyDescent="0.35">
      <c r="A1017" s="10">
        <v>66070</v>
      </c>
      <c r="B1017" s="11" t="s">
        <v>30</v>
      </c>
      <c r="C1017" s="11" t="s">
        <v>31</v>
      </c>
      <c r="G1017" s="12"/>
    </row>
    <row r="1018" spans="1:7" ht="14.5" x14ac:dyDescent="0.35">
      <c r="A1018" s="10">
        <v>66105</v>
      </c>
      <c r="B1018" s="11" t="s">
        <v>30</v>
      </c>
      <c r="C1018" s="11" t="s">
        <v>28</v>
      </c>
    </row>
    <row r="1019" spans="1:7" ht="14.5" x14ac:dyDescent="0.35">
      <c r="A1019" s="8">
        <v>66112</v>
      </c>
      <c r="B1019" s="9" t="s">
        <v>30</v>
      </c>
      <c r="C1019" s="9" t="s">
        <v>14</v>
      </c>
    </row>
    <row r="1020" spans="1:7" ht="14.5" x14ac:dyDescent="0.35">
      <c r="A1020" s="8">
        <v>66152</v>
      </c>
      <c r="B1020" s="9" t="s">
        <v>13</v>
      </c>
      <c r="C1020" s="9" t="s">
        <v>15</v>
      </c>
    </row>
    <row r="1021" spans="1:7" ht="14.5" x14ac:dyDescent="0.35">
      <c r="A1021" s="8">
        <v>66153</v>
      </c>
      <c r="B1021" s="9" t="s">
        <v>16</v>
      </c>
      <c r="C1021" s="9" t="s">
        <v>15</v>
      </c>
    </row>
    <row r="1022" spans="1:7" ht="14.5" x14ac:dyDescent="0.35">
      <c r="A1022" s="8">
        <v>66198</v>
      </c>
      <c r="B1022" s="9" t="s">
        <v>17</v>
      </c>
      <c r="C1022" s="9" t="s">
        <v>18</v>
      </c>
    </row>
    <row r="1023" spans="1:7" ht="14.5" x14ac:dyDescent="0.35">
      <c r="A1023" s="8">
        <v>66222</v>
      </c>
      <c r="B1023" s="9" t="s">
        <v>13</v>
      </c>
      <c r="C1023" s="9" t="s">
        <v>20</v>
      </c>
    </row>
    <row r="1024" spans="1:7" ht="14.5" x14ac:dyDescent="0.35">
      <c r="A1024" s="8">
        <v>66232</v>
      </c>
      <c r="B1024" s="9" t="s">
        <v>22</v>
      </c>
      <c r="C1024" s="9" t="s">
        <v>21</v>
      </c>
    </row>
    <row r="1025" spans="1:7" ht="14.5" x14ac:dyDescent="0.35">
      <c r="A1025" s="8">
        <v>66260</v>
      </c>
      <c r="B1025" s="9" t="s">
        <v>22</v>
      </c>
      <c r="C1025" s="9" t="s">
        <v>23</v>
      </c>
    </row>
    <row r="1026" spans="1:7" ht="14.5" x14ac:dyDescent="0.35">
      <c r="A1026" s="8">
        <v>66361</v>
      </c>
      <c r="B1026" s="9" t="s">
        <v>29</v>
      </c>
      <c r="C1026" s="9" t="s">
        <v>24</v>
      </c>
    </row>
    <row r="1027" spans="1:7" ht="14.5" x14ac:dyDescent="0.35">
      <c r="A1027" s="8">
        <v>66396</v>
      </c>
      <c r="B1027" s="9" t="s">
        <v>29</v>
      </c>
      <c r="C1027" s="9" t="s">
        <v>25</v>
      </c>
    </row>
    <row r="1028" spans="1:7" ht="14.5" x14ac:dyDescent="0.35">
      <c r="A1028" s="8">
        <v>66417</v>
      </c>
      <c r="B1028" s="9" t="s">
        <v>29</v>
      </c>
      <c r="C1028" s="9" t="s">
        <v>26</v>
      </c>
    </row>
    <row r="1029" spans="1:7" ht="14.5" x14ac:dyDescent="0.35">
      <c r="A1029" s="8">
        <v>66430</v>
      </c>
      <c r="B1029" s="9" t="s">
        <v>19</v>
      </c>
      <c r="C1029" s="9" t="s">
        <v>27</v>
      </c>
    </row>
    <row r="1030" spans="1:7" ht="14.5" x14ac:dyDescent="0.35">
      <c r="A1030" s="8">
        <v>66435</v>
      </c>
      <c r="B1030" s="9" t="s">
        <v>22</v>
      </c>
      <c r="C1030" s="9" t="s">
        <v>31</v>
      </c>
      <c r="G1030" s="12"/>
    </row>
    <row r="1031" spans="1:7" ht="14.5" x14ac:dyDescent="0.35">
      <c r="A1031" s="8">
        <v>66470</v>
      </c>
      <c r="B1031" s="9" t="s">
        <v>22</v>
      </c>
      <c r="C1031" s="9" t="s">
        <v>28</v>
      </c>
    </row>
    <row r="1032" spans="1:7" ht="14.5" x14ac:dyDescent="0.35">
      <c r="A1032" s="10">
        <v>66477</v>
      </c>
      <c r="B1032" s="11" t="s">
        <v>22</v>
      </c>
      <c r="C1032" s="11" t="s">
        <v>14</v>
      </c>
    </row>
    <row r="1033" spans="1:7" ht="14.5" x14ac:dyDescent="0.35">
      <c r="A1033" s="10">
        <v>66537</v>
      </c>
      <c r="B1033" s="11" t="s">
        <v>13</v>
      </c>
      <c r="C1033" s="11" t="s">
        <v>15</v>
      </c>
    </row>
    <row r="1034" spans="1:7" ht="14.5" x14ac:dyDescent="0.35">
      <c r="A1034" s="10">
        <v>66538</v>
      </c>
      <c r="B1034" s="11" t="s">
        <v>16</v>
      </c>
      <c r="C1034" s="11" t="s">
        <v>15</v>
      </c>
    </row>
    <row r="1035" spans="1:7" ht="14.5" x14ac:dyDescent="0.35">
      <c r="A1035" s="10">
        <v>66583</v>
      </c>
      <c r="B1035" s="11" t="s">
        <v>17</v>
      </c>
      <c r="C1035" s="11" t="s">
        <v>18</v>
      </c>
    </row>
    <row r="1036" spans="1:7" ht="14.5" x14ac:dyDescent="0.35">
      <c r="A1036" s="10">
        <v>66587</v>
      </c>
      <c r="B1036" s="11" t="s">
        <v>16</v>
      </c>
      <c r="C1036" s="11" t="s">
        <v>20</v>
      </c>
    </row>
    <row r="1037" spans="1:7" ht="14.5" x14ac:dyDescent="0.35">
      <c r="A1037" s="10">
        <v>66597</v>
      </c>
      <c r="B1037" s="11" t="s">
        <v>17</v>
      </c>
      <c r="C1037" s="11" t="s">
        <v>21</v>
      </c>
    </row>
    <row r="1038" spans="1:7" ht="14.5" x14ac:dyDescent="0.35">
      <c r="A1038" s="10">
        <v>66645</v>
      </c>
      <c r="B1038" s="11" t="s">
        <v>22</v>
      </c>
      <c r="C1038" s="11" t="s">
        <v>23</v>
      </c>
    </row>
    <row r="1039" spans="1:7" ht="14.5" x14ac:dyDescent="0.35">
      <c r="A1039" s="10">
        <v>66726</v>
      </c>
      <c r="B1039" s="11" t="s">
        <v>13</v>
      </c>
      <c r="C1039" s="11" t="s">
        <v>24</v>
      </c>
    </row>
    <row r="1040" spans="1:7" ht="14.5" x14ac:dyDescent="0.35">
      <c r="A1040" s="10">
        <v>66761</v>
      </c>
      <c r="B1040" s="11" t="s">
        <v>13</v>
      </c>
      <c r="C1040" s="11" t="s">
        <v>25</v>
      </c>
    </row>
    <row r="1041" spans="1:7" ht="14.5" x14ac:dyDescent="0.35">
      <c r="A1041" s="10">
        <v>66782</v>
      </c>
      <c r="B1041" s="11" t="s">
        <v>13</v>
      </c>
      <c r="C1041" s="11" t="s">
        <v>26</v>
      </c>
    </row>
    <row r="1042" spans="1:7" ht="14.5" x14ac:dyDescent="0.35">
      <c r="A1042" s="10">
        <v>66795</v>
      </c>
      <c r="B1042" s="11" t="s">
        <v>29</v>
      </c>
      <c r="C1042" s="11" t="s">
        <v>27</v>
      </c>
    </row>
    <row r="1043" spans="1:7" ht="14.5" x14ac:dyDescent="0.35">
      <c r="A1043" s="10">
        <v>66800</v>
      </c>
      <c r="B1043" s="11" t="s">
        <v>17</v>
      </c>
      <c r="C1043" s="11" t="s">
        <v>31</v>
      </c>
      <c r="G1043" s="12"/>
    </row>
    <row r="1044" spans="1:7" ht="14.5" x14ac:dyDescent="0.35">
      <c r="A1044" s="10">
        <v>66835</v>
      </c>
      <c r="B1044" s="11" t="s">
        <v>17</v>
      </c>
      <c r="C1044" s="11" t="s">
        <v>28</v>
      </c>
    </row>
    <row r="1045" spans="1:7" ht="14.5" x14ac:dyDescent="0.35">
      <c r="A1045" s="8">
        <v>66842</v>
      </c>
      <c r="B1045" s="9" t="s">
        <v>17</v>
      </c>
      <c r="C1045" s="9" t="s">
        <v>14</v>
      </c>
    </row>
    <row r="1046" spans="1:7" ht="14.5" x14ac:dyDescent="0.35">
      <c r="A1046" s="8">
        <v>66887</v>
      </c>
      <c r="B1046" s="9" t="s">
        <v>13</v>
      </c>
      <c r="C1046" s="9" t="s">
        <v>15</v>
      </c>
    </row>
    <row r="1047" spans="1:7" ht="14.5" x14ac:dyDescent="0.35">
      <c r="A1047" s="8">
        <v>66888</v>
      </c>
      <c r="B1047" s="9" t="s">
        <v>16</v>
      </c>
      <c r="C1047" s="9" t="s">
        <v>15</v>
      </c>
    </row>
    <row r="1048" spans="1:7" ht="14.5" x14ac:dyDescent="0.35">
      <c r="A1048" s="8">
        <v>66933</v>
      </c>
      <c r="B1048" s="9" t="s">
        <v>17</v>
      </c>
      <c r="C1048" s="9" t="s">
        <v>18</v>
      </c>
    </row>
    <row r="1049" spans="1:7" ht="14.5" x14ac:dyDescent="0.35">
      <c r="A1049" s="8">
        <v>66952</v>
      </c>
      <c r="B1049" s="9" t="s">
        <v>30</v>
      </c>
      <c r="C1049" s="9" t="s">
        <v>20</v>
      </c>
    </row>
    <row r="1050" spans="1:7" ht="14.5" x14ac:dyDescent="0.35">
      <c r="A1050" s="8">
        <v>66962</v>
      </c>
      <c r="B1050" s="9" t="s">
        <v>19</v>
      </c>
      <c r="C1050" s="9" t="s">
        <v>21</v>
      </c>
    </row>
    <row r="1051" spans="1:7" ht="14.5" x14ac:dyDescent="0.35">
      <c r="A1051" s="8">
        <v>66995</v>
      </c>
      <c r="B1051" s="9" t="s">
        <v>22</v>
      </c>
      <c r="C1051" s="9" t="s">
        <v>23</v>
      </c>
    </row>
    <row r="1052" spans="1:7" ht="14.5" x14ac:dyDescent="0.35">
      <c r="A1052" s="8">
        <v>67091</v>
      </c>
      <c r="B1052" s="9" t="s">
        <v>16</v>
      </c>
      <c r="C1052" s="9" t="s">
        <v>24</v>
      </c>
    </row>
    <row r="1053" spans="1:7" ht="14.5" x14ac:dyDescent="0.35">
      <c r="A1053" s="8">
        <v>67126</v>
      </c>
      <c r="B1053" s="9" t="s">
        <v>16</v>
      </c>
      <c r="C1053" s="9" t="s">
        <v>25</v>
      </c>
    </row>
    <row r="1054" spans="1:7" ht="14.5" x14ac:dyDescent="0.35">
      <c r="A1054" s="8">
        <v>67147</v>
      </c>
      <c r="B1054" s="9" t="s">
        <v>16</v>
      </c>
      <c r="C1054" s="9" t="s">
        <v>26</v>
      </c>
    </row>
    <row r="1055" spans="1:7" ht="14.5" x14ac:dyDescent="0.35">
      <c r="A1055" s="8">
        <v>67160</v>
      </c>
      <c r="B1055" s="9" t="s">
        <v>13</v>
      </c>
      <c r="C1055" s="9" t="s">
        <v>27</v>
      </c>
    </row>
    <row r="1056" spans="1:7" ht="14.5" x14ac:dyDescent="0.35">
      <c r="A1056" s="8">
        <v>67165</v>
      </c>
      <c r="B1056" s="9" t="s">
        <v>19</v>
      </c>
      <c r="C1056" s="9" t="s">
        <v>31</v>
      </c>
      <c r="G1056" s="12"/>
    </row>
    <row r="1057" spans="1:7" ht="14.5" x14ac:dyDescent="0.35">
      <c r="A1057" s="8">
        <v>67200</v>
      </c>
      <c r="B1057" s="9" t="s">
        <v>19</v>
      </c>
      <c r="C1057" s="9" t="s">
        <v>28</v>
      </c>
    </row>
    <row r="1058" spans="1:7" ht="14.5" x14ac:dyDescent="0.35">
      <c r="A1058" s="10">
        <v>67207</v>
      </c>
      <c r="B1058" s="11" t="s">
        <v>19</v>
      </c>
      <c r="C1058" s="11" t="s">
        <v>14</v>
      </c>
    </row>
    <row r="1059" spans="1:7" ht="14.5" x14ac:dyDescent="0.35">
      <c r="A1059" s="10">
        <v>67244</v>
      </c>
      <c r="B1059" s="11" t="s">
        <v>13</v>
      </c>
      <c r="C1059" s="11" t="s">
        <v>15</v>
      </c>
    </row>
    <row r="1060" spans="1:7" ht="14.5" x14ac:dyDescent="0.35">
      <c r="A1060" s="10">
        <v>67245</v>
      </c>
      <c r="B1060" s="11" t="s">
        <v>16</v>
      </c>
      <c r="C1060" s="11" t="s">
        <v>15</v>
      </c>
    </row>
    <row r="1061" spans="1:7" ht="14.5" x14ac:dyDescent="0.35">
      <c r="A1061" s="10">
        <v>67290</v>
      </c>
      <c r="B1061" s="11" t="s">
        <v>17</v>
      </c>
      <c r="C1061" s="11" t="s">
        <v>18</v>
      </c>
    </row>
    <row r="1062" spans="1:7" ht="14.5" x14ac:dyDescent="0.35">
      <c r="A1062" s="10">
        <v>67318</v>
      </c>
      <c r="B1062" s="11" t="s">
        <v>17</v>
      </c>
      <c r="C1062" s="11" t="s">
        <v>20</v>
      </c>
    </row>
    <row r="1063" spans="1:7" ht="14.5" x14ac:dyDescent="0.35">
      <c r="A1063" s="10">
        <v>67328</v>
      </c>
      <c r="B1063" s="11" t="s">
        <v>13</v>
      </c>
      <c r="C1063" s="11" t="s">
        <v>21</v>
      </c>
    </row>
    <row r="1064" spans="1:7" ht="14.5" x14ac:dyDescent="0.35">
      <c r="A1064" s="10">
        <v>67352</v>
      </c>
      <c r="B1064" s="11" t="s">
        <v>22</v>
      </c>
      <c r="C1064" s="11" t="s">
        <v>23</v>
      </c>
    </row>
    <row r="1065" spans="1:7" ht="14.5" x14ac:dyDescent="0.35">
      <c r="A1065" s="10">
        <v>67457</v>
      </c>
      <c r="B1065" s="11" t="s">
        <v>22</v>
      </c>
      <c r="C1065" s="11" t="s">
        <v>24</v>
      </c>
    </row>
    <row r="1066" spans="1:7" ht="14.5" x14ac:dyDescent="0.35">
      <c r="A1066" s="10">
        <v>67492</v>
      </c>
      <c r="B1066" s="11" t="s">
        <v>22</v>
      </c>
      <c r="C1066" s="11" t="s">
        <v>25</v>
      </c>
    </row>
    <row r="1067" spans="1:7" ht="14.5" x14ac:dyDescent="0.35">
      <c r="A1067" s="10">
        <v>67513</v>
      </c>
      <c r="B1067" s="11" t="s">
        <v>22</v>
      </c>
      <c r="C1067" s="11" t="s">
        <v>26</v>
      </c>
    </row>
    <row r="1068" spans="1:7" ht="14.5" x14ac:dyDescent="0.35">
      <c r="A1068" s="10">
        <v>67526</v>
      </c>
      <c r="B1068" s="11" t="s">
        <v>30</v>
      </c>
      <c r="C1068" s="11" t="s">
        <v>27</v>
      </c>
    </row>
    <row r="1069" spans="1:7" ht="14.5" x14ac:dyDescent="0.35">
      <c r="A1069" s="10">
        <v>67531</v>
      </c>
      <c r="B1069" s="11" t="s">
        <v>13</v>
      </c>
      <c r="C1069" s="11" t="s">
        <v>31</v>
      </c>
      <c r="G1069" s="12"/>
    </row>
    <row r="1070" spans="1:7" ht="14.5" x14ac:dyDescent="0.35">
      <c r="A1070" s="10">
        <v>67566</v>
      </c>
      <c r="B1070" s="11" t="s">
        <v>13</v>
      </c>
      <c r="C1070" s="11" t="s">
        <v>28</v>
      </c>
    </row>
    <row r="1071" spans="1:7" ht="14.5" x14ac:dyDescent="0.35">
      <c r="A1071" s="8">
        <v>67573</v>
      </c>
      <c r="B1071" s="9" t="s">
        <v>13</v>
      </c>
      <c r="C1071" s="9" t="s">
        <v>14</v>
      </c>
    </row>
    <row r="1072" spans="1:7" ht="14.5" x14ac:dyDescent="0.35">
      <c r="A1072" s="8">
        <v>67629</v>
      </c>
      <c r="B1072" s="9" t="s">
        <v>13</v>
      </c>
      <c r="C1072" s="9" t="s">
        <v>15</v>
      </c>
    </row>
    <row r="1073" spans="1:7" ht="14.5" x14ac:dyDescent="0.35">
      <c r="A1073" s="8">
        <v>67630</v>
      </c>
      <c r="B1073" s="9" t="s">
        <v>16</v>
      </c>
      <c r="C1073" s="9" t="s">
        <v>15</v>
      </c>
    </row>
    <row r="1074" spans="1:7" ht="14.5" x14ac:dyDescent="0.35">
      <c r="A1074" s="8">
        <v>67675</v>
      </c>
      <c r="B1074" s="9" t="s">
        <v>17</v>
      </c>
      <c r="C1074" s="9" t="s">
        <v>18</v>
      </c>
    </row>
    <row r="1075" spans="1:7" ht="14.5" x14ac:dyDescent="0.35">
      <c r="A1075" s="8">
        <v>67683</v>
      </c>
      <c r="B1075" s="9" t="s">
        <v>19</v>
      </c>
      <c r="C1075" s="9" t="s">
        <v>20</v>
      </c>
    </row>
    <row r="1076" spans="1:7" ht="14.5" x14ac:dyDescent="0.35">
      <c r="A1076" s="8">
        <v>67693</v>
      </c>
      <c r="B1076" s="9" t="s">
        <v>16</v>
      </c>
      <c r="C1076" s="9" t="s">
        <v>21</v>
      </c>
    </row>
    <row r="1077" spans="1:7" ht="14.5" x14ac:dyDescent="0.35">
      <c r="A1077" s="8">
        <v>67737</v>
      </c>
      <c r="B1077" s="9" t="s">
        <v>22</v>
      </c>
      <c r="C1077" s="9" t="s">
        <v>23</v>
      </c>
    </row>
    <row r="1078" spans="1:7" ht="14.5" x14ac:dyDescent="0.35">
      <c r="A1078" s="8">
        <v>67822</v>
      </c>
      <c r="B1078" s="9" t="s">
        <v>17</v>
      </c>
      <c r="C1078" s="9" t="s">
        <v>24</v>
      </c>
    </row>
    <row r="1079" spans="1:7" ht="14.5" x14ac:dyDescent="0.35">
      <c r="A1079" s="8">
        <v>67857</v>
      </c>
      <c r="B1079" s="9" t="s">
        <v>17</v>
      </c>
      <c r="C1079" s="9" t="s">
        <v>25</v>
      </c>
    </row>
    <row r="1080" spans="1:7" ht="14.5" x14ac:dyDescent="0.35">
      <c r="A1080" s="8">
        <v>67878</v>
      </c>
      <c r="B1080" s="9" t="s">
        <v>17</v>
      </c>
      <c r="C1080" s="9" t="s">
        <v>26</v>
      </c>
    </row>
    <row r="1081" spans="1:7" ht="14.5" x14ac:dyDescent="0.35">
      <c r="A1081" s="8">
        <v>67891</v>
      </c>
      <c r="B1081" s="9" t="s">
        <v>22</v>
      </c>
      <c r="C1081" s="9" t="s">
        <v>27</v>
      </c>
    </row>
    <row r="1082" spans="1:7" ht="14.5" x14ac:dyDescent="0.35">
      <c r="A1082" s="8">
        <v>67896</v>
      </c>
      <c r="B1082" s="9" t="s">
        <v>16</v>
      </c>
      <c r="C1082" s="9" t="s">
        <v>31</v>
      </c>
      <c r="G1082" s="12"/>
    </row>
    <row r="1083" spans="1:7" ht="14.5" x14ac:dyDescent="0.35">
      <c r="A1083" s="8">
        <v>67931</v>
      </c>
      <c r="B1083" s="9" t="s">
        <v>16</v>
      </c>
      <c r="C1083" s="9" t="s">
        <v>28</v>
      </c>
    </row>
    <row r="1084" spans="1:7" ht="14.5" x14ac:dyDescent="0.35">
      <c r="A1084" s="10">
        <v>67938</v>
      </c>
      <c r="B1084" s="11" t="s">
        <v>16</v>
      </c>
      <c r="C1084" s="11" t="s">
        <v>14</v>
      </c>
    </row>
    <row r="1085" spans="1:7" ht="14.5" x14ac:dyDescent="0.35">
      <c r="A1085" s="10">
        <v>67979</v>
      </c>
      <c r="B1085" s="11" t="s">
        <v>13</v>
      </c>
      <c r="C1085" s="11" t="s">
        <v>15</v>
      </c>
    </row>
    <row r="1086" spans="1:7" ht="14.5" x14ac:dyDescent="0.35">
      <c r="A1086" s="10">
        <v>67980</v>
      </c>
      <c r="B1086" s="11" t="s">
        <v>16</v>
      </c>
      <c r="C1086" s="11" t="s">
        <v>15</v>
      </c>
    </row>
    <row r="1087" spans="1:7" ht="14.5" x14ac:dyDescent="0.35">
      <c r="A1087" s="10">
        <v>68025</v>
      </c>
      <c r="B1087" s="11" t="s">
        <v>17</v>
      </c>
      <c r="C1087" s="11" t="s">
        <v>18</v>
      </c>
    </row>
    <row r="1088" spans="1:7" ht="14.5" x14ac:dyDescent="0.35">
      <c r="A1088" s="10">
        <v>68048</v>
      </c>
      <c r="B1088" s="11" t="s">
        <v>29</v>
      </c>
      <c r="C1088" s="11" t="s">
        <v>20</v>
      </c>
    </row>
    <row r="1089" spans="1:7" ht="14.5" x14ac:dyDescent="0.35">
      <c r="A1089" s="10">
        <v>68058</v>
      </c>
      <c r="B1089" s="11" t="s">
        <v>30</v>
      </c>
      <c r="C1089" s="11" t="s">
        <v>21</v>
      </c>
    </row>
    <row r="1090" spans="1:7" ht="14.5" x14ac:dyDescent="0.35">
      <c r="A1090" s="10">
        <v>68087</v>
      </c>
      <c r="B1090" s="11" t="s">
        <v>22</v>
      </c>
      <c r="C1090" s="11" t="s">
        <v>23</v>
      </c>
    </row>
    <row r="1091" spans="1:7" ht="14.5" x14ac:dyDescent="0.35">
      <c r="A1091" s="10">
        <v>68187</v>
      </c>
      <c r="B1091" s="11" t="s">
        <v>19</v>
      </c>
      <c r="C1091" s="11" t="s">
        <v>24</v>
      </c>
    </row>
    <row r="1092" spans="1:7" ht="14.5" x14ac:dyDescent="0.35">
      <c r="A1092" s="10">
        <v>68222</v>
      </c>
      <c r="B1092" s="11" t="s">
        <v>19</v>
      </c>
      <c r="C1092" s="11" t="s">
        <v>25</v>
      </c>
    </row>
    <row r="1093" spans="1:7" ht="14.5" x14ac:dyDescent="0.35">
      <c r="A1093" s="10">
        <v>68243</v>
      </c>
      <c r="B1093" s="11" t="s">
        <v>19</v>
      </c>
      <c r="C1093" s="11" t="s">
        <v>26</v>
      </c>
    </row>
    <row r="1094" spans="1:7" ht="14.5" x14ac:dyDescent="0.35">
      <c r="A1094" s="10">
        <v>68256</v>
      </c>
      <c r="B1094" s="11" t="s">
        <v>17</v>
      </c>
      <c r="C1094" s="11" t="s">
        <v>27</v>
      </c>
    </row>
    <row r="1095" spans="1:7" ht="14.5" x14ac:dyDescent="0.35">
      <c r="A1095" s="10">
        <v>68261</v>
      </c>
      <c r="B1095" s="11" t="s">
        <v>30</v>
      </c>
      <c r="C1095" s="11" t="s">
        <v>31</v>
      </c>
      <c r="G1095" s="12"/>
    </row>
    <row r="1096" spans="1:7" ht="14.5" x14ac:dyDescent="0.35">
      <c r="A1096" s="10">
        <v>68296</v>
      </c>
      <c r="B1096" s="11" t="s">
        <v>30</v>
      </c>
      <c r="C1096" s="11" t="s">
        <v>28</v>
      </c>
    </row>
    <row r="1097" spans="1:7" ht="14.5" x14ac:dyDescent="0.35">
      <c r="A1097" s="8">
        <v>68303</v>
      </c>
      <c r="B1097" s="9" t="s">
        <v>30</v>
      </c>
      <c r="C1097" s="9" t="s">
        <v>14</v>
      </c>
    </row>
    <row r="1098" spans="1:7" ht="14.5" x14ac:dyDescent="0.35">
      <c r="A1098" s="8">
        <v>68364</v>
      </c>
      <c r="B1098" s="9" t="s">
        <v>13</v>
      </c>
      <c r="C1098" s="9" t="s">
        <v>15</v>
      </c>
    </row>
    <row r="1099" spans="1:7" ht="14.5" x14ac:dyDescent="0.35">
      <c r="A1099" s="8">
        <v>68365</v>
      </c>
      <c r="B1099" s="9" t="s">
        <v>16</v>
      </c>
      <c r="C1099" s="9" t="s">
        <v>15</v>
      </c>
    </row>
    <row r="1100" spans="1:7" ht="14.5" x14ac:dyDescent="0.35">
      <c r="A1100" s="8">
        <v>68410</v>
      </c>
      <c r="B1100" s="9" t="s">
        <v>17</v>
      </c>
      <c r="C1100" s="9" t="s">
        <v>18</v>
      </c>
    </row>
    <row r="1101" spans="1:7" ht="14.5" x14ac:dyDescent="0.35">
      <c r="A1101" s="8">
        <v>68413</v>
      </c>
      <c r="B1101" s="9" t="s">
        <v>13</v>
      </c>
      <c r="C1101" s="9" t="s">
        <v>20</v>
      </c>
    </row>
    <row r="1102" spans="1:7" ht="14.5" x14ac:dyDescent="0.35">
      <c r="A1102" s="8">
        <v>68423</v>
      </c>
      <c r="B1102" s="9" t="s">
        <v>22</v>
      </c>
      <c r="C1102" s="9" t="s">
        <v>21</v>
      </c>
    </row>
    <row r="1103" spans="1:7" ht="14.5" x14ac:dyDescent="0.35">
      <c r="A1103" s="8">
        <v>68472</v>
      </c>
      <c r="B1103" s="9" t="s">
        <v>22</v>
      </c>
      <c r="C1103" s="9" t="s">
        <v>23</v>
      </c>
    </row>
    <row r="1104" spans="1:7" ht="14.5" x14ac:dyDescent="0.35">
      <c r="A1104" s="8">
        <v>68552</v>
      </c>
      <c r="B1104" s="9" t="s">
        <v>29</v>
      </c>
      <c r="C1104" s="9" t="s">
        <v>24</v>
      </c>
    </row>
    <row r="1105" spans="1:7" ht="14.5" x14ac:dyDescent="0.35">
      <c r="A1105" s="8">
        <v>68587</v>
      </c>
      <c r="B1105" s="9" t="s">
        <v>29</v>
      </c>
      <c r="C1105" s="9" t="s">
        <v>25</v>
      </c>
    </row>
    <row r="1106" spans="1:7" ht="14.5" x14ac:dyDescent="0.35">
      <c r="A1106" s="8">
        <v>68608</v>
      </c>
      <c r="B1106" s="9" t="s">
        <v>29</v>
      </c>
      <c r="C1106" s="9" t="s">
        <v>26</v>
      </c>
    </row>
    <row r="1107" spans="1:7" ht="14.5" x14ac:dyDescent="0.35">
      <c r="A1107" s="8">
        <v>68621</v>
      </c>
      <c r="B1107" s="9" t="s">
        <v>19</v>
      </c>
      <c r="C1107" s="9" t="s">
        <v>27</v>
      </c>
    </row>
    <row r="1108" spans="1:7" ht="14.5" x14ac:dyDescent="0.35">
      <c r="A1108" s="8">
        <v>68626</v>
      </c>
      <c r="B1108" s="9" t="s">
        <v>22</v>
      </c>
      <c r="C1108" s="9" t="s">
        <v>31</v>
      </c>
      <c r="G1108" s="12"/>
    </row>
    <row r="1109" spans="1:7" ht="14.5" x14ac:dyDescent="0.35">
      <c r="A1109" s="8">
        <v>68661</v>
      </c>
      <c r="B1109" s="9" t="s">
        <v>22</v>
      </c>
      <c r="C1109" s="9" t="s">
        <v>28</v>
      </c>
    </row>
    <row r="1110" spans="1:7" ht="14.5" x14ac:dyDescent="0.35">
      <c r="A1110" s="10">
        <v>68668</v>
      </c>
      <c r="B1110" s="11" t="s">
        <v>22</v>
      </c>
      <c r="C1110" s="11" t="s">
        <v>14</v>
      </c>
    </row>
    <row r="1111" spans="1:7" ht="14.5" x14ac:dyDescent="0.35">
      <c r="A1111" s="10">
        <v>68721</v>
      </c>
      <c r="B1111" s="11" t="s">
        <v>13</v>
      </c>
      <c r="C1111" s="11" t="s">
        <v>15</v>
      </c>
    </row>
    <row r="1112" spans="1:7" ht="14.5" x14ac:dyDescent="0.35">
      <c r="A1112" s="10">
        <v>68722</v>
      </c>
      <c r="B1112" s="11" t="s">
        <v>16</v>
      </c>
      <c r="C1112" s="11" t="s">
        <v>15</v>
      </c>
    </row>
    <row r="1113" spans="1:7" ht="14.5" x14ac:dyDescent="0.35">
      <c r="A1113" s="10">
        <v>68767</v>
      </c>
      <c r="B1113" s="11" t="s">
        <v>17</v>
      </c>
      <c r="C1113" s="11" t="s">
        <v>18</v>
      </c>
    </row>
    <row r="1114" spans="1:7" ht="14.5" x14ac:dyDescent="0.35">
      <c r="A1114" s="10">
        <v>68779</v>
      </c>
      <c r="B1114" s="11" t="s">
        <v>30</v>
      </c>
      <c r="C1114" s="11" t="s">
        <v>20</v>
      </c>
    </row>
    <row r="1115" spans="1:7" ht="14.5" x14ac:dyDescent="0.35">
      <c r="A1115" s="10">
        <v>68789</v>
      </c>
      <c r="B1115" s="11" t="s">
        <v>19</v>
      </c>
      <c r="C1115" s="11" t="s">
        <v>21</v>
      </c>
    </row>
    <row r="1116" spans="1:7" ht="14.5" x14ac:dyDescent="0.35">
      <c r="A1116" s="10">
        <v>68829</v>
      </c>
      <c r="B1116" s="11" t="s">
        <v>22</v>
      </c>
      <c r="C1116" s="11" t="s">
        <v>23</v>
      </c>
    </row>
    <row r="1117" spans="1:7" ht="14.5" x14ac:dyDescent="0.35">
      <c r="A1117" s="10">
        <v>68918</v>
      </c>
      <c r="B1117" s="11" t="s">
        <v>16</v>
      </c>
      <c r="C1117" s="11" t="s">
        <v>24</v>
      </c>
    </row>
    <row r="1118" spans="1:7" ht="14.5" x14ac:dyDescent="0.35">
      <c r="A1118" s="10">
        <v>68953</v>
      </c>
      <c r="B1118" s="11" t="s">
        <v>16</v>
      </c>
      <c r="C1118" s="11" t="s">
        <v>25</v>
      </c>
    </row>
    <row r="1119" spans="1:7" ht="14.5" x14ac:dyDescent="0.35">
      <c r="A1119" s="10">
        <v>68974</v>
      </c>
      <c r="B1119" s="11" t="s">
        <v>16</v>
      </c>
      <c r="C1119" s="11" t="s">
        <v>26</v>
      </c>
    </row>
    <row r="1120" spans="1:7" ht="14.5" x14ac:dyDescent="0.35">
      <c r="A1120" s="10">
        <v>68987</v>
      </c>
      <c r="B1120" s="11" t="s">
        <v>13</v>
      </c>
      <c r="C1120" s="11" t="s">
        <v>27</v>
      </c>
    </row>
    <row r="1121" spans="1:7" ht="14.5" x14ac:dyDescent="0.35">
      <c r="A1121" s="10">
        <v>68992</v>
      </c>
      <c r="B1121" s="11" t="s">
        <v>19</v>
      </c>
      <c r="C1121" s="11" t="s">
        <v>31</v>
      </c>
      <c r="G1121" s="12"/>
    </row>
    <row r="1122" spans="1:7" ht="14.5" x14ac:dyDescent="0.35">
      <c r="A1122" s="10">
        <v>69027</v>
      </c>
      <c r="B1122" s="11" t="s">
        <v>19</v>
      </c>
      <c r="C1122" s="11" t="s">
        <v>28</v>
      </c>
    </row>
    <row r="1123" spans="1:7" ht="14.5" x14ac:dyDescent="0.35">
      <c r="A1123" s="8">
        <v>69034</v>
      </c>
      <c r="B1123" s="9" t="s">
        <v>19</v>
      </c>
      <c r="C1123" s="9" t="s">
        <v>14</v>
      </c>
    </row>
    <row r="1124" spans="1:7" ht="14.5" x14ac:dyDescent="0.35">
      <c r="A1124" s="8">
        <v>69078</v>
      </c>
      <c r="B1124" s="9" t="s">
        <v>13</v>
      </c>
      <c r="C1124" s="9" t="s">
        <v>15</v>
      </c>
    </row>
    <row r="1125" spans="1:7" ht="14.5" x14ac:dyDescent="0.35">
      <c r="A1125" s="8">
        <v>69079</v>
      </c>
      <c r="B1125" s="9" t="s">
        <v>16</v>
      </c>
      <c r="C1125" s="9" t="s">
        <v>15</v>
      </c>
    </row>
    <row r="1126" spans="1:7" ht="14.5" x14ac:dyDescent="0.35">
      <c r="A1126" s="8">
        <v>69124</v>
      </c>
      <c r="B1126" s="9" t="s">
        <v>17</v>
      </c>
      <c r="C1126" s="9" t="s">
        <v>18</v>
      </c>
    </row>
    <row r="1127" spans="1:7" ht="14.5" x14ac:dyDescent="0.35">
      <c r="A1127" s="8">
        <v>69144</v>
      </c>
      <c r="B1127" s="9" t="s">
        <v>22</v>
      </c>
      <c r="C1127" s="9" t="s">
        <v>20</v>
      </c>
    </row>
    <row r="1128" spans="1:7" ht="14.5" x14ac:dyDescent="0.35">
      <c r="A1128" s="8">
        <v>69154</v>
      </c>
      <c r="B1128" s="9" t="s">
        <v>29</v>
      </c>
      <c r="C1128" s="9" t="s">
        <v>21</v>
      </c>
    </row>
    <row r="1129" spans="1:7" ht="14.5" x14ac:dyDescent="0.35">
      <c r="A1129" s="8">
        <v>69186</v>
      </c>
      <c r="B1129" s="9" t="s">
        <v>22</v>
      </c>
      <c r="C1129" s="9" t="s">
        <v>23</v>
      </c>
    </row>
    <row r="1130" spans="1:7" ht="14.5" x14ac:dyDescent="0.35">
      <c r="A1130" s="8">
        <v>69283</v>
      </c>
      <c r="B1130" s="9" t="s">
        <v>30</v>
      </c>
      <c r="C1130" s="9" t="s">
        <v>24</v>
      </c>
    </row>
    <row r="1131" spans="1:7" ht="14.5" x14ac:dyDescent="0.35">
      <c r="A1131" s="8">
        <v>69318</v>
      </c>
      <c r="B1131" s="9" t="s">
        <v>30</v>
      </c>
      <c r="C1131" s="9" t="s">
        <v>25</v>
      </c>
    </row>
    <row r="1132" spans="1:7" ht="14.5" x14ac:dyDescent="0.35">
      <c r="A1132" s="8">
        <v>69339</v>
      </c>
      <c r="B1132" s="9" t="s">
        <v>30</v>
      </c>
      <c r="C1132" s="9" t="s">
        <v>26</v>
      </c>
    </row>
    <row r="1133" spans="1:7" ht="14.5" x14ac:dyDescent="0.35">
      <c r="A1133" s="8">
        <v>69352</v>
      </c>
      <c r="B1133" s="9" t="s">
        <v>16</v>
      </c>
      <c r="C1133" s="9" t="s">
        <v>27</v>
      </c>
    </row>
    <row r="1134" spans="1:7" ht="14.5" x14ac:dyDescent="0.35">
      <c r="A1134" s="8">
        <v>69357</v>
      </c>
      <c r="B1134" s="9" t="s">
        <v>29</v>
      </c>
      <c r="C1134" s="9" t="s">
        <v>31</v>
      </c>
      <c r="G1134" s="12"/>
    </row>
    <row r="1135" spans="1:7" ht="14.5" x14ac:dyDescent="0.35">
      <c r="A1135" s="8">
        <v>69392</v>
      </c>
      <c r="B1135" s="9" t="s">
        <v>29</v>
      </c>
      <c r="C1135" s="9" t="s">
        <v>28</v>
      </c>
    </row>
    <row r="1136" spans="1:7" ht="14.5" x14ac:dyDescent="0.35">
      <c r="A1136" s="10">
        <v>69399</v>
      </c>
      <c r="B1136" s="11" t="s">
        <v>29</v>
      </c>
      <c r="C1136" s="11" t="s">
        <v>14</v>
      </c>
    </row>
    <row r="1137" spans="1:7" ht="14.5" x14ac:dyDescent="0.35">
      <c r="A1137" s="10">
        <v>69456</v>
      </c>
      <c r="B1137" s="11" t="s">
        <v>13</v>
      </c>
      <c r="C1137" s="11" t="s">
        <v>15</v>
      </c>
    </row>
    <row r="1138" spans="1:7" ht="14.5" x14ac:dyDescent="0.35">
      <c r="A1138" s="10">
        <v>69457</v>
      </c>
      <c r="B1138" s="11" t="s">
        <v>16</v>
      </c>
      <c r="C1138" s="11" t="s">
        <v>15</v>
      </c>
    </row>
    <row r="1139" spans="1:7" ht="14.5" x14ac:dyDescent="0.35">
      <c r="A1139" s="10">
        <v>69502</v>
      </c>
      <c r="B1139" s="11" t="s">
        <v>17</v>
      </c>
      <c r="C1139" s="11" t="s">
        <v>18</v>
      </c>
    </row>
    <row r="1140" spans="1:7" ht="14.5" x14ac:dyDescent="0.35">
      <c r="A1140" s="10">
        <v>69509</v>
      </c>
      <c r="B1140" s="11" t="s">
        <v>17</v>
      </c>
      <c r="C1140" s="11" t="s">
        <v>20</v>
      </c>
    </row>
    <row r="1141" spans="1:7" ht="14.5" x14ac:dyDescent="0.35">
      <c r="A1141" s="10">
        <v>69519</v>
      </c>
      <c r="B1141" s="11" t="s">
        <v>13</v>
      </c>
      <c r="C1141" s="11" t="s">
        <v>21</v>
      </c>
    </row>
    <row r="1142" spans="1:7" ht="14.5" x14ac:dyDescent="0.35">
      <c r="A1142" s="10">
        <v>69564</v>
      </c>
      <c r="B1142" s="11" t="s">
        <v>22</v>
      </c>
      <c r="C1142" s="11" t="s">
        <v>23</v>
      </c>
    </row>
    <row r="1143" spans="1:7" ht="14.5" x14ac:dyDescent="0.35">
      <c r="A1143" s="10">
        <v>69648</v>
      </c>
      <c r="B1143" s="11" t="s">
        <v>22</v>
      </c>
      <c r="C1143" s="11" t="s">
        <v>24</v>
      </c>
    </row>
    <row r="1144" spans="1:7" ht="14.5" x14ac:dyDescent="0.35">
      <c r="A1144" s="10">
        <v>69683</v>
      </c>
      <c r="B1144" s="11" t="s">
        <v>22</v>
      </c>
      <c r="C1144" s="11" t="s">
        <v>25</v>
      </c>
    </row>
    <row r="1145" spans="1:7" ht="14.5" x14ac:dyDescent="0.35">
      <c r="A1145" s="10">
        <v>69704</v>
      </c>
      <c r="B1145" s="11" t="s">
        <v>22</v>
      </c>
      <c r="C1145" s="11" t="s">
        <v>26</v>
      </c>
    </row>
    <row r="1146" spans="1:7" ht="14.5" x14ac:dyDescent="0.35">
      <c r="A1146" s="10">
        <v>69717</v>
      </c>
      <c r="B1146" s="11" t="s">
        <v>30</v>
      </c>
      <c r="C1146" s="11" t="s">
        <v>27</v>
      </c>
    </row>
    <row r="1147" spans="1:7" ht="14.5" x14ac:dyDescent="0.35">
      <c r="A1147" s="10">
        <v>69722</v>
      </c>
      <c r="B1147" s="11" t="s">
        <v>13</v>
      </c>
      <c r="C1147" s="11" t="s">
        <v>31</v>
      </c>
      <c r="G1147" s="12"/>
    </row>
    <row r="1148" spans="1:7" ht="14.5" x14ac:dyDescent="0.35">
      <c r="A1148" s="10">
        <v>69757</v>
      </c>
      <c r="B1148" s="11" t="s">
        <v>13</v>
      </c>
      <c r="C1148" s="11" t="s">
        <v>28</v>
      </c>
    </row>
    <row r="1149" spans="1:7" ht="14.5" x14ac:dyDescent="0.35">
      <c r="A1149" s="8">
        <v>69764</v>
      </c>
      <c r="B1149" s="9" t="s">
        <v>13</v>
      </c>
      <c r="C1149" s="9" t="s">
        <v>14</v>
      </c>
    </row>
    <row r="1150" spans="1:7" ht="14.5" x14ac:dyDescent="0.35">
      <c r="A1150" s="8">
        <v>69813</v>
      </c>
      <c r="B1150" s="9" t="s">
        <v>13</v>
      </c>
      <c r="C1150" s="9" t="s">
        <v>15</v>
      </c>
    </row>
    <row r="1151" spans="1:7" ht="14.5" x14ac:dyDescent="0.35">
      <c r="A1151" s="8">
        <v>69814</v>
      </c>
      <c r="B1151" s="9" t="s">
        <v>16</v>
      </c>
      <c r="C1151" s="9" t="s">
        <v>15</v>
      </c>
    </row>
    <row r="1152" spans="1:7" ht="14.5" x14ac:dyDescent="0.35">
      <c r="A1152" s="8">
        <v>69859</v>
      </c>
      <c r="B1152" s="9" t="s">
        <v>17</v>
      </c>
      <c r="C1152" s="9" t="s">
        <v>18</v>
      </c>
    </row>
    <row r="1153" spans="1:7" ht="14.5" x14ac:dyDescent="0.35">
      <c r="A1153" s="8">
        <v>69874</v>
      </c>
      <c r="B1153" s="9" t="s">
        <v>19</v>
      </c>
      <c r="C1153" s="9" t="s">
        <v>20</v>
      </c>
    </row>
    <row r="1154" spans="1:7" ht="14.5" x14ac:dyDescent="0.35">
      <c r="A1154" s="8">
        <v>69884</v>
      </c>
      <c r="B1154" s="9" t="s">
        <v>16</v>
      </c>
      <c r="C1154" s="9" t="s">
        <v>21</v>
      </c>
    </row>
    <row r="1155" spans="1:7" ht="14.5" x14ac:dyDescent="0.35">
      <c r="A1155" s="8">
        <v>69921</v>
      </c>
      <c r="B1155" s="9" t="s">
        <v>22</v>
      </c>
      <c r="C1155" s="9" t="s">
        <v>23</v>
      </c>
    </row>
    <row r="1156" spans="1:7" ht="14.5" x14ac:dyDescent="0.35">
      <c r="A1156" s="8">
        <v>70013</v>
      </c>
      <c r="B1156" s="9" t="s">
        <v>17</v>
      </c>
      <c r="C1156" s="9" t="s">
        <v>24</v>
      </c>
    </row>
    <row r="1157" spans="1:7" ht="14.5" x14ac:dyDescent="0.35">
      <c r="A1157" s="8">
        <v>70048</v>
      </c>
      <c r="B1157" s="9" t="s">
        <v>17</v>
      </c>
      <c r="C1157" s="9" t="s">
        <v>25</v>
      </c>
    </row>
    <row r="1158" spans="1:7" ht="14.5" x14ac:dyDescent="0.35">
      <c r="A1158" s="8">
        <v>70069</v>
      </c>
      <c r="B1158" s="9" t="s">
        <v>17</v>
      </c>
      <c r="C1158" s="9" t="s">
        <v>26</v>
      </c>
    </row>
    <row r="1159" spans="1:7" ht="14.5" x14ac:dyDescent="0.35">
      <c r="A1159" s="8">
        <v>70082</v>
      </c>
      <c r="B1159" s="9" t="s">
        <v>22</v>
      </c>
      <c r="C1159" s="9" t="s">
        <v>27</v>
      </c>
    </row>
    <row r="1160" spans="1:7" ht="14.5" x14ac:dyDescent="0.35">
      <c r="A1160" s="8">
        <v>70087</v>
      </c>
      <c r="B1160" s="9" t="s">
        <v>16</v>
      </c>
      <c r="C1160" s="9" t="s">
        <v>31</v>
      </c>
      <c r="G1160" s="12"/>
    </row>
    <row r="1161" spans="1:7" ht="14.5" x14ac:dyDescent="0.35">
      <c r="A1161" s="8">
        <v>70122</v>
      </c>
      <c r="B1161" s="9" t="s">
        <v>16</v>
      </c>
      <c r="C1161" s="9" t="s">
        <v>28</v>
      </c>
    </row>
    <row r="1162" spans="1:7" ht="14.5" x14ac:dyDescent="0.35">
      <c r="A1162" s="10">
        <v>70129</v>
      </c>
      <c r="B1162" s="11" t="s">
        <v>16</v>
      </c>
      <c r="C1162" s="11" t="s">
        <v>14</v>
      </c>
    </row>
    <row r="1163" spans="1:7" ht="14.5" x14ac:dyDescent="0.35">
      <c r="A1163" s="10">
        <v>70170</v>
      </c>
      <c r="B1163" s="11" t="s">
        <v>13</v>
      </c>
      <c r="C1163" s="11" t="s">
        <v>15</v>
      </c>
    </row>
    <row r="1164" spans="1:7" ht="14.5" x14ac:dyDescent="0.35">
      <c r="A1164" s="10">
        <v>70171</v>
      </c>
      <c r="B1164" s="11" t="s">
        <v>16</v>
      </c>
      <c r="C1164" s="11" t="s">
        <v>15</v>
      </c>
    </row>
    <row r="1165" spans="1:7" ht="14.5" x14ac:dyDescent="0.35">
      <c r="A1165" s="10">
        <v>70216</v>
      </c>
      <c r="B1165" s="11" t="s">
        <v>17</v>
      </c>
      <c r="C1165" s="11" t="s">
        <v>18</v>
      </c>
    </row>
    <row r="1166" spans="1:7" ht="14.5" x14ac:dyDescent="0.35">
      <c r="A1166" s="10">
        <v>70240</v>
      </c>
      <c r="B1166" s="11" t="s">
        <v>13</v>
      </c>
      <c r="C1166" s="11" t="s">
        <v>20</v>
      </c>
    </row>
    <row r="1167" spans="1:7" ht="14.5" x14ac:dyDescent="0.35">
      <c r="A1167" s="10">
        <v>70250</v>
      </c>
      <c r="B1167" s="11" t="s">
        <v>22</v>
      </c>
      <c r="C1167" s="11" t="s">
        <v>21</v>
      </c>
    </row>
    <row r="1168" spans="1:7" ht="14.5" x14ac:dyDescent="0.35">
      <c r="A1168" s="10">
        <v>70278</v>
      </c>
      <c r="B1168" s="11" t="s">
        <v>22</v>
      </c>
      <c r="C1168" s="11" t="s">
        <v>23</v>
      </c>
    </row>
    <row r="1169" spans="1:7" ht="14.5" x14ac:dyDescent="0.35">
      <c r="A1169" s="10">
        <v>70379</v>
      </c>
      <c r="B1169" s="11" t="s">
        <v>29</v>
      </c>
      <c r="C1169" s="11" t="s">
        <v>24</v>
      </c>
    </row>
    <row r="1170" spans="1:7" ht="14.5" x14ac:dyDescent="0.35">
      <c r="A1170" s="10">
        <v>70414</v>
      </c>
      <c r="B1170" s="11" t="s">
        <v>29</v>
      </c>
      <c r="C1170" s="11" t="s">
        <v>25</v>
      </c>
    </row>
    <row r="1171" spans="1:7" ht="14.5" x14ac:dyDescent="0.35">
      <c r="A1171" s="10">
        <v>70435</v>
      </c>
      <c r="B1171" s="11" t="s">
        <v>29</v>
      </c>
      <c r="C1171" s="11" t="s">
        <v>26</v>
      </c>
    </row>
    <row r="1172" spans="1:7" ht="14.5" x14ac:dyDescent="0.35">
      <c r="A1172" s="10">
        <v>70448</v>
      </c>
      <c r="B1172" s="11" t="s">
        <v>19</v>
      </c>
      <c r="C1172" s="11" t="s">
        <v>27</v>
      </c>
    </row>
    <row r="1173" spans="1:7" ht="14.5" x14ac:dyDescent="0.35">
      <c r="A1173" s="10">
        <v>70453</v>
      </c>
      <c r="B1173" s="11" t="s">
        <v>22</v>
      </c>
      <c r="C1173" s="11" t="s">
        <v>31</v>
      </c>
      <c r="G1173" s="12"/>
    </row>
    <row r="1174" spans="1:7" ht="14.5" x14ac:dyDescent="0.35">
      <c r="A1174" s="10">
        <v>70488</v>
      </c>
      <c r="B1174" s="11" t="s">
        <v>22</v>
      </c>
      <c r="C1174" s="11" t="s">
        <v>28</v>
      </c>
    </row>
    <row r="1175" spans="1:7" ht="14.5" x14ac:dyDescent="0.35">
      <c r="A1175" s="8">
        <v>70495</v>
      </c>
      <c r="B1175" s="9" t="s">
        <v>22</v>
      </c>
      <c r="C1175" s="9" t="s">
        <v>14</v>
      </c>
    </row>
    <row r="1176" spans="1:7" ht="14.5" x14ac:dyDescent="0.35">
      <c r="A1176" s="8">
        <v>70548</v>
      </c>
      <c r="B1176" s="9" t="s">
        <v>13</v>
      </c>
      <c r="C1176" s="9" t="s">
        <v>15</v>
      </c>
    </row>
    <row r="1177" spans="1:7" ht="14.5" x14ac:dyDescent="0.35">
      <c r="A1177" s="8">
        <v>70549</v>
      </c>
      <c r="B1177" s="9" t="s">
        <v>16</v>
      </c>
      <c r="C1177" s="9" t="s">
        <v>15</v>
      </c>
    </row>
    <row r="1178" spans="1:7" ht="14.5" x14ac:dyDescent="0.35">
      <c r="A1178" s="8">
        <v>70594</v>
      </c>
      <c r="B1178" s="9" t="s">
        <v>17</v>
      </c>
      <c r="C1178" s="9" t="s">
        <v>18</v>
      </c>
    </row>
    <row r="1179" spans="1:7" ht="14.5" x14ac:dyDescent="0.35">
      <c r="A1179" s="8">
        <v>70605</v>
      </c>
      <c r="B1179" s="9" t="s">
        <v>16</v>
      </c>
      <c r="C1179" s="9" t="s">
        <v>20</v>
      </c>
    </row>
    <row r="1180" spans="1:7" ht="14.5" x14ac:dyDescent="0.35">
      <c r="A1180" s="8">
        <v>70615</v>
      </c>
      <c r="B1180" s="9" t="s">
        <v>17</v>
      </c>
      <c r="C1180" s="9" t="s">
        <v>21</v>
      </c>
    </row>
    <row r="1181" spans="1:7" ht="14.5" x14ac:dyDescent="0.35">
      <c r="A1181" s="8">
        <v>70656</v>
      </c>
      <c r="B1181" s="9" t="s">
        <v>22</v>
      </c>
      <c r="C1181" s="9" t="s">
        <v>23</v>
      </c>
    </row>
    <row r="1182" spans="1:7" ht="14.5" x14ac:dyDescent="0.35">
      <c r="A1182" s="8">
        <v>70744</v>
      </c>
      <c r="B1182" s="9" t="s">
        <v>13</v>
      </c>
      <c r="C1182" s="9" t="s">
        <v>24</v>
      </c>
    </row>
    <row r="1183" spans="1:7" ht="14.5" x14ac:dyDescent="0.35">
      <c r="A1183" s="8">
        <v>70779</v>
      </c>
      <c r="B1183" s="9" t="s">
        <v>13</v>
      </c>
      <c r="C1183" s="9" t="s">
        <v>25</v>
      </c>
    </row>
    <row r="1184" spans="1:7" ht="14.5" x14ac:dyDescent="0.35">
      <c r="A1184" s="8">
        <v>70800</v>
      </c>
      <c r="B1184" s="9" t="s">
        <v>13</v>
      </c>
      <c r="C1184" s="9" t="s">
        <v>26</v>
      </c>
    </row>
    <row r="1185" spans="1:7" ht="14.5" x14ac:dyDescent="0.35">
      <c r="A1185" s="8">
        <v>70813</v>
      </c>
      <c r="B1185" s="9" t="s">
        <v>29</v>
      </c>
      <c r="C1185" s="9" t="s">
        <v>27</v>
      </c>
    </row>
    <row r="1186" spans="1:7" ht="14.5" x14ac:dyDescent="0.35">
      <c r="A1186" s="8">
        <v>70818</v>
      </c>
      <c r="B1186" s="9" t="s">
        <v>17</v>
      </c>
      <c r="C1186" s="9" t="s">
        <v>31</v>
      </c>
      <c r="G1186" s="12"/>
    </row>
    <row r="1187" spans="1:7" ht="14.5" x14ac:dyDescent="0.35">
      <c r="A1187" s="8">
        <v>70853</v>
      </c>
      <c r="B1187" s="9" t="s">
        <v>17</v>
      </c>
      <c r="C1187" s="9" t="s">
        <v>28</v>
      </c>
    </row>
    <row r="1188" spans="1:7" ht="14.5" x14ac:dyDescent="0.35">
      <c r="A1188" s="10">
        <v>70860</v>
      </c>
      <c r="B1188" s="11" t="s">
        <v>17</v>
      </c>
      <c r="C1188" s="11" t="s">
        <v>14</v>
      </c>
    </row>
    <row r="1189" spans="1:7" ht="14.5" x14ac:dyDescent="0.35">
      <c r="A1189" s="10">
        <v>70905</v>
      </c>
      <c r="B1189" s="11" t="s">
        <v>13</v>
      </c>
      <c r="C1189" s="11" t="s">
        <v>15</v>
      </c>
    </row>
    <row r="1190" spans="1:7" ht="14.5" x14ac:dyDescent="0.35">
      <c r="A1190" s="10">
        <v>70906</v>
      </c>
      <c r="B1190" s="11" t="s">
        <v>16</v>
      </c>
      <c r="C1190" s="11" t="s">
        <v>15</v>
      </c>
    </row>
    <row r="1191" spans="1:7" ht="14.5" x14ac:dyDescent="0.35">
      <c r="A1191" s="10">
        <v>70951</v>
      </c>
      <c r="B1191" s="11" t="s">
        <v>17</v>
      </c>
      <c r="C1191" s="11" t="s">
        <v>18</v>
      </c>
    </row>
    <row r="1192" spans="1:7" ht="14.5" x14ac:dyDescent="0.35">
      <c r="A1192" s="10">
        <v>70970</v>
      </c>
      <c r="B1192" s="11" t="s">
        <v>30</v>
      </c>
      <c r="C1192" s="11" t="s">
        <v>20</v>
      </c>
    </row>
    <row r="1193" spans="1:7" ht="14.5" x14ac:dyDescent="0.35">
      <c r="A1193" s="10">
        <v>70980</v>
      </c>
      <c r="B1193" s="11" t="s">
        <v>19</v>
      </c>
      <c r="C1193" s="11" t="s">
        <v>21</v>
      </c>
    </row>
    <row r="1194" spans="1:7" ht="14.5" x14ac:dyDescent="0.35">
      <c r="A1194" s="10">
        <v>71013</v>
      </c>
      <c r="B1194" s="11" t="s">
        <v>22</v>
      </c>
      <c r="C1194" s="11" t="s">
        <v>23</v>
      </c>
    </row>
    <row r="1195" spans="1:7" ht="14.5" x14ac:dyDescent="0.35">
      <c r="A1195" s="10">
        <v>71109</v>
      </c>
      <c r="B1195" s="11" t="s">
        <v>16</v>
      </c>
      <c r="C1195" s="11" t="s">
        <v>24</v>
      </c>
    </row>
    <row r="1196" spans="1:7" ht="14.5" x14ac:dyDescent="0.35">
      <c r="A1196" s="10">
        <v>71144</v>
      </c>
      <c r="B1196" s="11" t="s">
        <v>16</v>
      </c>
      <c r="C1196" s="11" t="s">
        <v>25</v>
      </c>
    </row>
    <row r="1197" spans="1:7" ht="14.5" x14ac:dyDescent="0.35">
      <c r="A1197" s="10">
        <v>71165</v>
      </c>
      <c r="B1197" s="11" t="s">
        <v>16</v>
      </c>
      <c r="C1197" s="11" t="s">
        <v>26</v>
      </c>
    </row>
    <row r="1198" spans="1:7" ht="14.5" x14ac:dyDescent="0.35">
      <c r="A1198" s="10">
        <v>71178</v>
      </c>
      <c r="B1198" s="11" t="s">
        <v>13</v>
      </c>
      <c r="C1198" s="11" t="s">
        <v>27</v>
      </c>
    </row>
    <row r="1199" spans="1:7" ht="14.5" x14ac:dyDescent="0.35">
      <c r="A1199" s="10">
        <v>71183</v>
      </c>
      <c r="B1199" s="11" t="s">
        <v>19</v>
      </c>
      <c r="C1199" s="11" t="s">
        <v>31</v>
      </c>
      <c r="G1199" s="12"/>
    </row>
    <row r="1200" spans="1:7" ht="14.5" x14ac:dyDescent="0.35">
      <c r="A1200" s="10">
        <v>71218</v>
      </c>
      <c r="B1200" s="11" t="s">
        <v>19</v>
      </c>
      <c r="C1200" s="11" t="s">
        <v>28</v>
      </c>
    </row>
    <row r="1201" spans="1:7" ht="14.5" x14ac:dyDescent="0.35">
      <c r="A1201" s="8">
        <v>71225</v>
      </c>
      <c r="B1201" s="9" t="s">
        <v>19</v>
      </c>
      <c r="C1201" s="9" t="s">
        <v>14</v>
      </c>
    </row>
    <row r="1202" spans="1:7" ht="14.5" x14ac:dyDescent="0.35">
      <c r="A1202" s="8">
        <v>71290</v>
      </c>
      <c r="B1202" s="9" t="s">
        <v>13</v>
      </c>
      <c r="C1202" s="9" t="s">
        <v>15</v>
      </c>
    </row>
    <row r="1203" spans="1:7" ht="14.5" x14ac:dyDescent="0.35">
      <c r="A1203" s="8">
        <v>71291</v>
      </c>
      <c r="B1203" s="9" t="s">
        <v>16</v>
      </c>
      <c r="C1203" s="9" t="s">
        <v>15</v>
      </c>
    </row>
    <row r="1204" spans="1:7" ht="14.5" x14ac:dyDescent="0.35">
      <c r="A1204" s="8">
        <v>71335</v>
      </c>
      <c r="B1204" s="9" t="s">
        <v>22</v>
      </c>
      <c r="C1204" s="9" t="s">
        <v>20</v>
      </c>
    </row>
    <row r="1205" spans="1:7" ht="14.5" x14ac:dyDescent="0.35">
      <c r="A1205" s="8">
        <v>71336</v>
      </c>
      <c r="B1205" s="9" t="s">
        <v>17</v>
      </c>
      <c r="C1205" s="9" t="s">
        <v>18</v>
      </c>
    </row>
    <row r="1206" spans="1:7" ht="14.5" x14ac:dyDescent="0.35">
      <c r="A1206" s="8">
        <v>71345</v>
      </c>
      <c r="B1206" s="9" t="s">
        <v>29</v>
      </c>
      <c r="C1206" s="9" t="s">
        <v>21</v>
      </c>
    </row>
    <row r="1207" spans="1:7" ht="14.5" x14ac:dyDescent="0.35">
      <c r="A1207" s="8">
        <v>71398</v>
      </c>
      <c r="B1207" s="9" t="s">
        <v>22</v>
      </c>
      <c r="C1207" s="9" t="s">
        <v>23</v>
      </c>
    </row>
    <row r="1208" spans="1:7" ht="14.5" x14ac:dyDescent="0.35">
      <c r="A1208" s="8">
        <v>71474</v>
      </c>
      <c r="B1208" s="9" t="s">
        <v>30</v>
      </c>
      <c r="C1208" s="9" t="s">
        <v>24</v>
      </c>
    </row>
    <row r="1209" spans="1:7" ht="14.5" x14ac:dyDescent="0.35">
      <c r="A1209" s="8">
        <v>71509</v>
      </c>
      <c r="B1209" s="9" t="s">
        <v>30</v>
      </c>
      <c r="C1209" s="9" t="s">
        <v>25</v>
      </c>
    </row>
    <row r="1210" spans="1:7" ht="14.5" x14ac:dyDescent="0.35">
      <c r="A1210" s="8">
        <v>71530</v>
      </c>
      <c r="B1210" s="9" t="s">
        <v>30</v>
      </c>
      <c r="C1210" s="9" t="s">
        <v>26</v>
      </c>
    </row>
    <row r="1211" spans="1:7" ht="14.5" x14ac:dyDescent="0.35">
      <c r="A1211" s="8">
        <v>71543</v>
      </c>
      <c r="B1211" s="9" t="s">
        <v>16</v>
      </c>
      <c r="C1211" s="9" t="s">
        <v>27</v>
      </c>
    </row>
    <row r="1212" spans="1:7" ht="14.5" x14ac:dyDescent="0.35">
      <c r="A1212" s="8">
        <v>71548</v>
      </c>
      <c r="B1212" s="9" t="s">
        <v>29</v>
      </c>
      <c r="C1212" s="9" t="s">
        <v>31</v>
      </c>
      <c r="G1212" s="12"/>
    </row>
    <row r="1213" spans="1:7" ht="14.5" x14ac:dyDescent="0.35">
      <c r="A1213" s="8">
        <v>71583</v>
      </c>
      <c r="B1213" s="9" t="s">
        <v>29</v>
      </c>
      <c r="C1213" s="9" t="s">
        <v>28</v>
      </c>
    </row>
    <row r="1214" spans="1:7" ht="14.5" x14ac:dyDescent="0.35">
      <c r="A1214" s="10">
        <v>71590</v>
      </c>
      <c r="B1214" s="11" t="s">
        <v>29</v>
      </c>
      <c r="C1214" s="11" t="s">
        <v>14</v>
      </c>
    </row>
    <row r="1215" spans="1:7" ht="14.5" x14ac:dyDescent="0.35">
      <c r="A1215" s="10">
        <v>71647</v>
      </c>
      <c r="B1215" s="11" t="s">
        <v>13</v>
      </c>
      <c r="C1215" s="11" t="s">
        <v>15</v>
      </c>
    </row>
    <row r="1216" spans="1:7" ht="14.5" x14ac:dyDescent="0.35">
      <c r="A1216" s="10">
        <v>71648</v>
      </c>
      <c r="B1216" s="11" t="s">
        <v>16</v>
      </c>
      <c r="C1216" s="11" t="s">
        <v>15</v>
      </c>
    </row>
    <row r="1217" spans="1:7" ht="14.5" x14ac:dyDescent="0.35">
      <c r="A1217" s="10">
        <v>71693</v>
      </c>
      <c r="B1217" s="11" t="s">
        <v>17</v>
      </c>
      <c r="C1217" s="11" t="s">
        <v>18</v>
      </c>
    </row>
    <row r="1218" spans="1:7" ht="14.5" x14ac:dyDescent="0.35">
      <c r="A1218" s="10">
        <v>71701</v>
      </c>
      <c r="B1218" s="11" t="s">
        <v>19</v>
      </c>
      <c r="C1218" s="11" t="s">
        <v>20</v>
      </c>
    </row>
    <row r="1219" spans="1:7" ht="14.5" x14ac:dyDescent="0.35">
      <c r="A1219" s="10">
        <v>71711</v>
      </c>
      <c r="B1219" s="11" t="s">
        <v>16</v>
      </c>
      <c r="C1219" s="11" t="s">
        <v>21</v>
      </c>
    </row>
    <row r="1220" spans="1:7" ht="14.5" x14ac:dyDescent="0.35">
      <c r="A1220" s="10">
        <v>71755</v>
      </c>
      <c r="B1220" s="11" t="s">
        <v>22</v>
      </c>
      <c r="C1220" s="11" t="s">
        <v>23</v>
      </c>
    </row>
    <row r="1221" spans="1:7" ht="14.5" x14ac:dyDescent="0.35">
      <c r="A1221" s="10">
        <v>71840</v>
      </c>
      <c r="B1221" s="11" t="s">
        <v>17</v>
      </c>
      <c r="C1221" s="11" t="s">
        <v>24</v>
      </c>
    </row>
    <row r="1222" spans="1:7" ht="14.5" x14ac:dyDescent="0.35">
      <c r="A1222" s="10">
        <v>71875</v>
      </c>
      <c r="B1222" s="11" t="s">
        <v>17</v>
      </c>
      <c r="C1222" s="11" t="s">
        <v>25</v>
      </c>
    </row>
    <row r="1223" spans="1:7" ht="14.5" x14ac:dyDescent="0.35">
      <c r="A1223" s="10">
        <v>71896</v>
      </c>
      <c r="B1223" s="11" t="s">
        <v>17</v>
      </c>
      <c r="C1223" s="11" t="s">
        <v>26</v>
      </c>
    </row>
    <row r="1224" spans="1:7" ht="14.5" x14ac:dyDescent="0.35">
      <c r="A1224" s="10">
        <v>71909</v>
      </c>
      <c r="B1224" s="11" t="s">
        <v>22</v>
      </c>
      <c r="C1224" s="11" t="s">
        <v>27</v>
      </c>
    </row>
    <row r="1225" spans="1:7" ht="14.5" x14ac:dyDescent="0.35">
      <c r="A1225" s="10">
        <v>71914</v>
      </c>
      <c r="B1225" s="11" t="s">
        <v>16</v>
      </c>
      <c r="C1225" s="11" t="s">
        <v>31</v>
      </c>
      <c r="G1225" s="12"/>
    </row>
    <row r="1226" spans="1:7" ht="14.5" x14ac:dyDescent="0.35">
      <c r="A1226" s="10">
        <v>71949</v>
      </c>
      <c r="B1226" s="11" t="s">
        <v>16</v>
      </c>
      <c r="C1226" s="11" t="s">
        <v>28</v>
      </c>
    </row>
    <row r="1227" spans="1:7" ht="14.5" x14ac:dyDescent="0.35">
      <c r="A1227" s="8">
        <v>71956</v>
      </c>
      <c r="B1227" s="9" t="s">
        <v>16</v>
      </c>
      <c r="C1227" s="9" t="s">
        <v>14</v>
      </c>
    </row>
    <row r="1228" spans="1:7" ht="14.5" x14ac:dyDescent="0.35">
      <c r="A1228" s="8">
        <v>71997</v>
      </c>
      <c r="B1228" s="9" t="s">
        <v>13</v>
      </c>
      <c r="C1228" s="9" t="s">
        <v>15</v>
      </c>
    </row>
    <row r="1229" spans="1:7" ht="14.5" x14ac:dyDescent="0.35">
      <c r="A1229" s="8">
        <v>71998</v>
      </c>
      <c r="B1229" s="9" t="s">
        <v>16</v>
      </c>
      <c r="C1229" s="9" t="s">
        <v>15</v>
      </c>
    </row>
    <row r="1230" spans="1:7" ht="14.5" x14ac:dyDescent="0.35">
      <c r="A1230" s="8">
        <v>72043</v>
      </c>
      <c r="B1230" s="9" t="s">
        <v>17</v>
      </c>
      <c r="C1230" s="9" t="s">
        <v>18</v>
      </c>
    </row>
    <row r="1231" spans="1:7" ht="14.5" x14ac:dyDescent="0.35">
      <c r="A1231" s="8">
        <v>72066</v>
      </c>
      <c r="B1231" s="9" t="s">
        <v>29</v>
      </c>
      <c r="C1231" s="9" t="s">
        <v>20</v>
      </c>
    </row>
    <row r="1232" spans="1:7" ht="14.5" x14ac:dyDescent="0.35">
      <c r="A1232" s="8">
        <v>72076</v>
      </c>
      <c r="B1232" s="9" t="s">
        <v>30</v>
      </c>
      <c r="C1232" s="9" t="s">
        <v>21</v>
      </c>
    </row>
    <row r="1233" spans="1:7" ht="14.5" x14ac:dyDescent="0.35">
      <c r="A1233" s="8">
        <v>72105</v>
      </c>
      <c r="B1233" s="9" t="s">
        <v>22</v>
      </c>
      <c r="C1233" s="9" t="s">
        <v>23</v>
      </c>
    </row>
    <row r="1234" spans="1:7" ht="14.5" x14ac:dyDescent="0.35">
      <c r="A1234" s="8">
        <v>72205</v>
      </c>
      <c r="B1234" s="9" t="s">
        <v>19</v>
      </c>
      <c r="C1234" s="9" t="s">
        <v>24</v>
      </c>
    </row>
    <row r="1235" spans="1:7" ht="14.5" x14ac:dyDescent="0.35">
      <c r="A1235" s="8">
        <v>72240</v>
      </c>
      <c r="B1235" s="9" t="s">
        <v>19</v>
      </c>
      <c r="C1235" s="9" t="s">
        <v>25</v>
      </c>
    </row>
    <row r="1236" spans="1:7" ht="14.5" x14ac:dyDescent="0.35">
      <c r="A1236" s="8">
        <v>72261</v>
      </c>
      <c r="B1236" s="9" t="s">
        <v>19</v>
      </c>
      <c r="C1236" s="9" t="s">
        <v>26</v>
      </c>
    </row>
    <row r="1237" spans="1:7" ht="14.5" x14ac:dyDescent="0.35">
      <c r="A1237" s="8">
        <v>72274</v>
      </c>
      <c r="B1237" s="9" t="s">
        <v>17</v>
      </c>
      <c r="C1237" s="9" t="s">
        <v>27</v>
      </c>
    </row>
    <row r="1238" spans="1:7" ht="14.5" x14ac:dyDescent="0.35">
      <c r="A1238" s="8">
        <v>72279</v>
      </c>
      <c r="B1238" s="9" t="s">
        <v>30</v>
      </c>
      <c r="C1238" s="9" t="s">
        <v>31</v>
      </c>
      <c r="G1238" s="12"/>
    </row>
    <row r="1239" spans="1:7" ht="14.5" x14ac:dyDescent="0.35">
      <c r="A1239" s="8">
        <v>72314</v>
      </c>
      <c r="B1239" s="9" t="s">
        <v>30</v>
      </c>
      <c r="C1239" s="9" t="s">
        <v>28</v>
      </c>
    </row>
    <row r="1240" spans="1:7" ht="14.5" x14ac:dyDescent="0.35">
      <c r="A1240" s="10">
        <v>72321</v>
      </c>
      <c r="B1240" s="11" t="s">
        <v>30</v>
      </c>
      <c r="C1240" s="11" t="s">
        <v>14</v>
      </c>
    </row>
    <row r="1241" spans="1:7" ht="14.5" x14ac:dyDescent="0.35">
      <c r="A1241" s="10">
        <v>72382</v>
      </c>
      <c r="B1241" s="11" t="s">
        <v>13</v>
      </c>
      <c r="C1241" s="11" t="s">
        <v>15</v>
      </c>
    </row>
    <row r="1242" spans="1:7" ht="14.5" x14ac:dyDescent="0.35">
      <c r="A1242" s="10">
        <v>72383</v>
      </c>
      <c r="B1242" s="11" t="s">
        <v>16</v>
      </c>
      <c r="C1242" s="11" t="s">
        <v>15</v>
      </c>
    </row>
    <row r="1243" spans="1:7" ht="14.5" x14ac:dyDescent="0.35">
      <c r="A1243" s="10">
        <v>72428</v>
      </c>
      <c r="B1243" s="11" t="s">
        <v>17</v>
      </c>
      <c r="C1243" s="11" t="s">
        <v>18</v>
      </c>
    </row>
    <row r="1244" spans="1:7" ht="14.5" x14ac:dyDescent="0.35">
      <c r="A1244" s="10">
        <v>72431</v>
      </c>
      <c r="B1244" s="11" t="s">
        <v>13</v>
      </c>
      <c r="C1244" s="11" t="s">
        <v>20</v>
      </c>
    </row>
    <row r="1245" spans="1:7" ht="14.5" x14ac:dyDescent="0.35">
      <c r="A1245" s="10">
        <v>72441</v>
      </c>
      <c r="B1245" s="11" t="s">
        <v>22</v>
      </c>
      <c r="C1245" s="11" t="s">
        <v>21</v>
      </c>
    </row>
    <row r="1246" spans="1:7" ht="14.5" x14ac:dyDescent="0.35">
      <c r="A1246" s="10">
        <v>72490</v>
      </c>
      <c r="B1246" s="11" t="s">
        <v>22</v>
      </c>
      <c r="C1246" s="11" t="s">
        <v>23</v>
      </c>
    </row>
    <row r="1247" spans="1:7" ht="14.5" x14ac:dyDescent="0.35">
      <c r="A1247" s="10">
        <v>72570</v>
      </c>
      <c r="B1247" s="11" t="s">
        <v>29</v>
      </c>
      <c r="C1247" s="11" t="s">
        <v>24</v>
      </c>
    </row>
    <row r="1248" spans="1:7" ht="14.5" x14ac:dyDescent="0.35">
      <c r="A1248" s="10">
        <v>72605</v>
      </c>
      <c r="B1248" s="11" t="s">
        <v>29</v>
      </c>
      <c r="C1248" s="11" t="s">
        <v>25</v>
      </c>
    </row>
    <row r="1249" spans="1:7" ht="14.5" x14ac:dyDescent="0.35">
      <c r="A1249" s="10">
        <v>72626</v>
      </c>
      <c r="B1249" s="11" t="s">
        <v>29</v>
      </c>
      <c r="C1249" s="11" t="s">
        <v>26</v>
      </c>
    </row>
    <row r="1250" spans="1:7" ht="14.5" x14ac:dyDescent="0.35">
      <c r="A1250" s="10">
        <v>72639</v>
      </c>
      <c r="B1250" s="11" t="s">
        <v>19</v>
      </c>
      <c r="C1250" s="11" t="s">
        <v>27</v>
      </c>
    </row>
    <row r="1251" spans="1:7" ht="14.5" x14ac:dyDescent="0.35">
      <c r="A1251" s="10">
        <v>72644</v>
      </c>
      <c r="B1251" s="11" t="s">
        <v>22</v>
      </c>
      <c r="C1251" s="11" t="s">
        <v>31</v>
      </c>
      <c r="G1251" s="12"/>
    </row>
    <row r="1252" spans="1:7" ht="14.5" x14ac:dyDescent="0.35">
      <c r="A1252" s="10">
        <v>72679</v>
      </c>
      <c r="B1252" s="11" t="s">
        <v>22</v>
      </c>
      <c r="C1252" s="11" t="s">
        <v>28</v>
      </c>
    </row>
    <row r="1253" spans="1:7" ht="14.5" x14ac:dyDescent="0.35">
      <c r="A1253" s="8">
        <v>72686</v>
      </c>
      <c r="B1253" s="9" t="s">
        <v>22</v>
      </c>
      <c r="C1253" s="9" t="s">
        <v>32</v>
      </c>
    </row>
    <row r="1254" spans="1:7" ht="14.5" x14ac:dyDescent="0.35">
      <c r="A1254" s="8">
        <v>72739</v>
      </c>
      <c r="B1254" s="9" t="s">
        <v>13</v>
      </c>
      <c r="C1254" s="9" t="s">
        <v>15</v>
      </c>
    </row>
    <row r="1255" spans="1:7" ht="14.5" x14ac:dyDescent="0.35">
      <c r="A1255" s="8">
        <v>72740</v>
      </c>
      <c r="B1255" s="9" t="s">
        <v>16</v>
      </c>
      <c r="C1255" s="9" t="s">
        <v>15</v>
      </c>
    </row>
    <row r="1256" spans="1:7" ht="14.5" x14ac:dyDescent="0.35">
      <c r="A1256" s="8">
        <v>72785</v>
      </c>
      <c r="B1256" s="9" t="s">
        <v>17</v>
      </c>
      <c r="C1256" s="9" t="s">
        <v>18</v>
      </c>
    </row>
    <row r="1257" spans="1:7" ht="14.5" x14ac:dyDescent="0.35">
      <c r="A1257" s="8">
        <v>72796</v>
      </c>
      <c r="B1257" s="9" t="s">
        <v>16</v>
      </c>
      <c r="C1257" s="9" t="s">
        <v>20</v>
      </c>
    </row>
    <row r="1258" spans="1:7" ht="14.5" x14ac:dyDescent="0.35">
      <c r="A1258" s="8">
        <v>72806</v>
      </c>
      <c r="B1258" s="9" t="s">
        <v>17</v>
      </c>
      <c r="C1258" s="9" t="s">
        <v>21</v>
      </c>
    </row>
    <row r="1259" spans="1:7" ht="14.5" x14ac:dyDescent="0.35">
      <c r="A1259" s="8">
        <v>72847</v>
      </c>
      <c r="B1259" s="9" t="s">
        <v>22</v>
      </c>
      <c r="C1259" s="9" t="s">
        <v>23</v>
      </c>
    </row>
    <row r="1260" spans="1:7" ht="14.5" x14ac:dyDescent="0.35">
      <c r="A1260" s="8">
        <v>72935</v>
      </c>
      <c r="B1260" s="9" t="s">
        <v>13</v>
      </c>
      <c r="C1260" s="9" t="s">
        <v>24</v>
      </c>
    </row>
    <row r="1261" spans="1:7" ht="14.5" x14ac:dyDescent="0.35">
      <c r="A1261" s="8">
        <v>72970</v>
      </c>
      <c r="B1261" s="9" t="s">
        <v>13</v>
      </c>
      <c r="C1261" s="9" t="s">
        <v>25</v>
      </c>
    </row>
    <row r="1262" spans="1:7" ht="14.5" x14ac:dyDescent="0.35">
      <c r="A1262" s="8">
        <v>72991</v>
      </c>
      <c r="B1262" s="9" t="s">
        <v>13</v>
      </c>
      <c r="C1262" s="9" t="s">
        <v>26</v>
      </c>
    </row>
    <row r="1263" spans="1:7" ht="14.5" x14ac:dyDescent="0.35">
      <c r="A1263" s="8">
        <v>73004</v>
      </c>
      <c r="B1263" s="9" t="s">
        <v>29</v>
      </c>
      <c r="C1263" s="9" t="s">
        <v>27</v>
      </c>
    </row>
    <row r="1264" spans="1:7" ht="14.5" x14ac:dyDescent="0.35">
      <c r="A1264" s="8">
        <v>73009</v>
      </c>
      <c r="B1264" s="9" t="s">
        <v>17</v>
      </c>
      <c r="C1264" s="9" t="s">
        <v>31</v>
      </c>
    </row>
    <row r="1265" spans="1:3" ht="14.5" x14ac:dyDescent="0.35">
      <c r="A1265" s="8">
        <v>73044</v>
      </c>
      <c r="B1265" s="9" t="s">
        <v>17</v>
      </c>
      <c r="C1265" s="9" t="s">
        <v>28</v>
      </c>
    </row>
    <row r="1266" spans="1:3" x14ac:dyDescent="0.25">
      <c r="A1266" s="13" t="s">
        <v>33</v>
      </c>
    </row>
    <row r="1267" spans="1:3" x14ac:dyDescent="0.25">
      <c r="A1267" s="14"/>
    </row>
    <row r="1268" spans="1:3" x14ac:dyDescent="0.25">
      <c r="A1268" s="15" t="s">
        <v>34</v>
      </c>
    </row>
    <row r="1269" spans="1:3" x14ac:dyDescent="0.25">
      <c r="A1269" s="14"/>
    </row>
    <row r="1270" spans="1:3" x14ac:dyDescent="0.25">
      <c r="A1270" s="15" t="s">
        <v>35</v>
      </c>
    </row>
    <row r="1271" spans="1:3" x14ac:dyDescent="0.25">
      <c r="A1271" s="14"/>
    </row>
    <row r="1272" spans="1:3" x14ac:dyDescent="0.25">
      <c r="A1272" s="15" t="s">
        <v>36</v>
      </c>
    </row>
    <row r="1273" spans="1:3" x14ac:dyDescent="0.25">
      <c r="A1273" s="14"/>
    </row>
    <row r="1274" spans="1:3" x14ac:dyDescent="0.25">
      <c r="A1274" s="15" t="s">
        <v>37</v>
      </c>
    </row>
  </sheetData>
  <autoFilter ref="A1:C1274" xr:uid="{65DCF597-F139-4044-810A-879986D82FCD}"/>
  <pageMargins left="0.78740157499999996" right="0.78740157499999996" top="0.984251969" bottom="0.984251969" header="0.49212598499999999" footer="0.49212598499999999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B71EA-9393-4B9D-8CBA-6949B1D69608}">
  <dimension ref="A1:AJ63"/>
  <sheetViews>
    <sheetView tabSelected="1" workbookViewId="0">
      <selection activeCell="C8" sqref="C8"/>
    </sheetView>
  </sheetViews>
  <sheetFormatPr defaultColWidth="9.1796875" defaultRowHeight="14.5" x14ac:dyDescent="0.35"/>
  <cols>
    <col min="1" max="1" width="10.453125" style="3" bestFit="1" customWidth="1"/>
    <col min="2" max="5" width="14.54296875" style="3" bestFit="1" customWidth="1"/>
    <col min="6" max="6" width="15" style="3" bestFit="1" customWidth="1"/>
    <col min="7" max="14" width="14.54296875" style="3" bestFit="1" customWidth="1"/>
    <col min="15" max="18" width="14.54296875" style="3" customWidth="1"/>
    <col min="19" max="22" width="14.54296875" style="3" bestFit="1" customWidth="1"/>
    <col min="23" max="25" width="11.81640625" style="3" customWidth="1"/>
    <col min="26" max="26" width="10.7265625" style="3" bestFit="1" customWidth="1"/>
    <col min="27" max="27" width="14.26953125" style="3" bestFit="1" customWidth="1"/>
    <col min="28" max="28" width="14.26953125" style="3" customWidth="1"/>
    <col min="29" max="16384" width="9.1796875" style="3"/>
  </cols>
  <sheetData>
    <row r="1" spans="1:36" x14ac:dyDescent="0.35">
      <c r="A1" s="3" t="s">
        <v>4</v>
      </c>
      <c r="B1" s="2">
        <v>46023</v>
      </c>
      <c r="AH1" s="3" t="s">
        <v>45</v>
      </c>
    </row>
    <row r="2" spans="1:36" x14ac:dyDescent="0.35">
      <c r="A2" s="3" t="s">
        <v>5</v>
      </c>
      <c r="AC2" s="24">
        <f>K7/L7</f>
        <v>1.1249579463319135</v>
      </c>
      <c r="AD2" s="24">
        <v>1</v>
      </c>
      <c r="AE2" s="24">
        <v>0</v>
      </c>
      <c r="AF2" s="24">
        <v>0</v>
      </c>
      <c r="AH2" s="24" cm="1">
        <f t="array" ref="AH2:AH5">MMULT(MINVERSE(AC2:AF5),AJ2:AJ5)</f>
        <v>0.45498591091990592</v>
      </c>
      <c r="AJ2" s="24">
        <v>0</v>
      </c>
    </row>
    <row r="3" spans="1:36" x14ac:dyDescent="0.35">
      <c r="AC3" s="24">
        <v>0</v>
      </c>
      <c r="AD3" s="24">
        <v>0</v>
      </c>
      <c r="AE3" s="24">
        <f>M8/N8</f>
        <v>1.6585189792679842</v>
      </c>
      <c r="AF3" s="24">
        <v>1</v>
      </c>
      <c r="AH3" s="24">
        <v>-0.511840015958412</v>
      </c>
      <c r="AJ3" s="24">
        <v>0</v>
      </c>
    </row>
    <row r="4" spans="1:36" x14ac:dyDescent="0.35">
      <c r="A4" s="1" t="s">
        <v>7</v>
      </c>
      <c r="B4" s="2">
        <v>46388</v>
      </c>
      <c r="C4" s="2">
        <v>46753</v>
      </c>
      <c r="D4" s="2">
        <v>47849</v>
      </c>
      <c r="E4" s="2">
        <v>49310</v>
      </c>
      <c r="F4" s="3" t="s">
        <v>38</v>
      </c>
      <c r="AC4" s="24">
        <f>O7</f>
        <v>-763.99690872187853</v>
      </c>
      <c r="AD4" s="24">
        <f>P7</f>
        <v>-1371.3859175793132</v>
      </c>
      <c r="AE4" s="24">
        <f>Q7</f>
        <v>-2334.4253057004948</v>
      </c>
      <c r="AF4" s="24">
        <f>R7</f>
        <v>-2521.7290743404387</v>
      </c>
      <c r="AH4" s="24">
        <v>-0.1917421938332276</v>
      </c>
      <c r="AJ4" s="24">
        <v>0</v>
      </c>
    </row>
    <row r="5" spans="1:36" x14ac:dyDescent="0.35">
      <c r="B5" s="17" t="s">
        <v>0</v>
      </c>
      <c r="C5" s="17" t="s">
        <v>1</v>
      </c>
      <c r="D5" s="17" t="s">
        <v>2</v>
      </c>
      <c r="E5" s="17" t="s">
        <v>3</v>
      </c>
      <c r="F5" s="3" t="s">
        <v>8</v>
      </c>
      <c r="G5" s="25" t="s">
        <v>9</v>
      </c>
      <c r="H5" s="25"/>
      <c r="I5" s="25"/>
      <c r="J5" s="25"/>
      <c r="K5" s="26" t="s">
        <v>39</v>
      </c>
      <c r="L5" s="26"/>
      <c r="M5" s="26"/>
      <c r="N5" s="26"/>
      <c r="O5" s="25" t="s">
        <v>46</v>
      </c>
      <c r="P5" s="25"/>
      <c r="Q5" s="25"/>
      <c r="R5" s="25"/>
      <c r="S5" s="27" t="s">
        <v>40</v>
      </c>
      <c r="T5" s="27"/>
      <c r="U5" s="27"/>
      <c r="V5" s="27"/>
      <c r="W5" s="28" t="s">
        <v>41</v>
      </c>
      <c r="X5" s="28"/>
      <c r="Y5" s="28"/>
      <c r="AC5" s="24">
        <f>O7</f>
        <v>-763.99690872187853</v>
      </c>
      <c r="AD5" s="24">
        <f>-P7</f>
        <v>1371.3859175793132</v>
      </c>
      <c r="AE5" s="24">
        <f>Q7</f>
        <v>-2334.4253057004948</v>
      </c>
      <c r="AF5" s="24">
        <f>-R7</f>
        <v>2521.7290743404387</v>
      </c>
      <c r="AH5" s="24">
        <v>0.31800806759888861</v>
      </c>
      <c r="AJ5" s="24">
        <v>200</v>
      </c>
    </row>
    <row r="6" spans="1:36" x14ac:dyDescent="0.35">
      <c r="A6" s="3" t="s">
        <v>6</v>
      </c>
      <c r="B6" s="18" t="s">
        <v>49</v>
      </c>
      <c r="C6" s="18" t="s">
        <v>49</v>
      </c>
      <c r="D6" s="18" t="s">
        <v>49</v>
      </c>
      <c r="E6" s="18" t="s">
        <v>49</v>
      </c>
      <c r="G6" s="19" t="s">
        <v>0</v>
      </c>
      <c r="H6" s="19" t="s">
        <v>1</v>
      </c>
      <c r="I6" s="19" t="s">
        <v>2</v>
      </c>
      <c r="J6" s="19" t="s">
        <v>3</v>
      </c>
      <c r="K6" s="20" t="s">
        <v>0</v>
      </c>
      <c r="L6" s="20" t="s">
        <v>1</v>
      </c>
      <c r="M6" s="20" t="s">
        <v>2</v>
      </c>
      <c r="N6" s="20" t="s">
        <v>3</v>
      </c>
      <c r="O6" s="19" t="s">
        <v>0</v>
      </c>
      <c r="P6" s="19" t="s">
        <v>1</v>
      </c>
      <c r="Q6" s="19" t="s">
        <v>2</v>
      </c>
      <c r="R6" s="19" t="s">
        <v>3</v>
      </c>
      <c r="S6" s="21" t="s">
        <v>0</v>
      </c>
      <c r="T6" s="21" t="s">
        <v>1</v>
      </c>
      <c r="U6" s="21" t="s">
        <v>2</v>
      </c>
      <c r="V6" s="21" t="s">
        <v>3</v>
      </c>
      <c r="W6" s="22" t="s">
        <v>42</v>
      </c>
      <c r="X6" s="22" t="s">
        <v>43</v>
      </c>
      <c r="Y6" s="22" t="s">
        <v>44</v>
      </c>
      <c r="Z6" s="1" t="s">
        <v>47</v>
      </c>
      <c r="AA6" s="1" t="s">
        <v>48</v>
      </c>
      <c r="AB6" s="1"/>
    </row>
    <row r="7" spans="1:36" x14ac:dyDescent="0.35">
      <c r="A7" s="2">
        <v>46023</v>
      </c>
      <c r="B7" s="3">
        <v>13.811999999999999</v>
      </c>
      <c r="C7" s="3">
        <v>13.176</v>
      </c>
      <c r="D7" s="3">
        <v>13.474</v>
      </c>
      <c r="E7" s="3">
        <v>13.579000000000001</v>
      </c>
      <c r="F7" s="3">
        <v>5.5130999999999999E-2</v>
      </c>
      <c r="G7" s="3">
        <f>NETWORKDAYS($A7,B$4,Feriados!$A$2:$A$1265)</f>
        <v>249</v>
      </c>
      <c r="H7" s="3">
        <f>NETWORKDAYS($A7,C$4,Feriados!$A$2:$A$1265)</f>
        <v>500</v>
      </c>
      <c r="I7" s="3">
        <f>NETWORKDAYS($A7,D$4,Feriados!$A$2:$A$1265)</f>
        <v>1249</v>
      </c>
      <c r="J7" s="3">
        <f>NETWORKDAYS($A7,E$4,Feriados!$A$2:$A$1265)</f>
        <v>2252</v>
      </c>
      <c r="K7" s="3">
        <f>100000/((1+B7/100)^(G7/252))</f>
        <v>87999.630828170761</v>
      </c>
      <c r="L7" s="3">
        <f>100000/((1+C7/100)^(H7/252))</f>
        <v>78224.818194409992</v>
      </c>
      <c r="M7" s="3">
        <f>100000/((1+D7/100)^(I7/252))</f>
        <v>53445.906676575345</v>
      </c>
      <c r="N7" s="3">
        <f>100000/((1+E7/100)^(J7/252))</f>
        <v>32050.043324465896</v>
      </c>
      <c r="O7" s="3">
        <f>(-(G7/252)*K7/(1+B7/100))/100</f>
        <v>-763.99690872187853</v>
      </c>
      <c r="P7" s="3">
        <f>(-(H7/252)*L7/(1+C7/100))/100</f>
        <v>-1371.3859175793132</v>
      </c>
      <c r="Q7" s="3">
        <f>(-(I7/252)*M7/(1+D7/100))/100</f>
        <v>-2334.4253057004948</v>
      </c>
      <c r="R7" s="3">
        <f>(-(J7/252)*N7/(1+E7/100))/100</f>
        <v>-2521.7290743404387</v>
      </c>
      <c r="W7" s="23">
        <f t="shared" ref="W7:W63" si="0">100*((((1+C7/100)^(H7/252))/((1+B7/100)^(G7/252)))^(252/(H7-G7))-1)</f>
        <v>12.54857948678838</v>
      </c>
      <c r="X7" s="23">
        <f t="shared" ref="X7:X63" si="1">100*((((1+E7/100)^(J7/252))/((1+D7/100)^(I7/252)))^(252/(J7-I7))-1)</f>
        <v>13.709888577511853</v>
      </c>
      <c r="Y7" s="23">
        <f>W7-X7</f>
        <v>-1.1613090907234724</v>
      </c>
    </row>
    <row r="8" spans="1:36" x14ac:dyDescent="0.35">
      <c r="A8" s="2">
        <v>46024</v>
      </c>
      <c r="B8" s="3">
        <v>13.704000000000001</v>
      </c>
      <c r="C8" s="3">
        <v>13.042999999999999</v>
      </c>
      <c r="D8" s="3">
        <v>13.323</v>
      </c>
      <c r="E8" s="3">
        <v>13.426</v>
      </c>
      <c r="F8" s="3">
        <v>5.5130999999999999E-2</v>
      </c>
      <c r="G8" s="3">
        <f>NETWORKDAYS($A8,B$4,Feriados!$A$2:$A$1265)</f>
        <v>249</v>
      </c>
      <c r="H8" s="3">
        <f>NETWORKDAYS($A8,C$4,Feriados!$A$2:$A$1265)</f>
        <v>500</v>
      </c>
      <c r="I8" s="3">
        <f>NETWORKDAYS($A8,D$4,Feriados!$A$2:$A$1265)</f>
        <v>1249</v>
      </c>
      <c r="J8" s="3">
        <f>NETWORKDAYS($A8,E$4,Feriados!$A$2:$A$1265)</f>
        <v>2252</v>
      </c>
      <c r="K8" s="3">
        <f t="shared" ref="K8:N63" si="2">100000/((1+B8/100)^(G8/252))</f>
        <v>88082.220399956757</v>
      </c>
      <c r="L8" s="3">
        <f t="shared" si="2"/>
        <v>78407.532834165904</v>
      </c>
      <c r="M8" s="3">
        <f t="shared" si="2"/>
        <v>53799.806191574324</v>
      </c>
      <c r="N8" s="3">
        <f t="shared" si="2"/>
        <v>32438.462787637069</v>
      </c>
      <c r="O8" s="3">
        <f t="shared" ref="O8:R63" si="3">(-(G8/252)*K8/(1+B8/100))/10000</f>
        <v>-7.6544028827528061</v>
      </c>
      <c r="P8" s="3">
        <f t="shared" si="3"/>
        <v>-13.762064139760186</v>
      </c>
      <c r="Q8" s="3">
        <f t="shared" si="3"/>
        <v>-23.530141870525004</v>
      </c>
      <c r="R8" s="3">
        <f t="shared" si="3"/>
        <v>-25.557330783932784</v>
      </c>
      <c r="S8" s="3">
        <f t="shared" ref="S8:V23" si="4">K8-K7*(1+$F7/100)</f>
        <v>34.074495314111118</v>
      </c>
      <c r="T8" s="3">
        <f t="shared" si="4"/>
        <v>139.58851523714839</v>
      </c>
      <c r="U8" s="3">
        <f t="shared" si="4"/>
        <v>324.43425218910852</v>
      </c>
      <c r="V8" s="3">
        <f t="shared" si="4"/>
        <v>370.7499537859585</v>
      </c>
      <c r="W8" s="23">
        <f t="shared" si="0"/>
        <v>12.391063802940172</v>
      </c>
      <c r="X8" s="23">
        <f t="shared" si="1"/>
        <v>13.554393097677764</v>
      </c>
      <c r="Y8" s="23">
        <f t="shared" ref="Y8:Y63" si="5">W8-X8</f>
        <v>-1.1633292947375917</v>
      </c>
      <c r="Z8" s="3" cm="1">
        <f t="array" ref="Z8">SUMPRODUCT(S8:V8,TRANSPOSE($AH$2:$AH$5))</f>
        <v>-0.24983148049851422</v>
      </c>
      <c r="AA8" s="23">
        <f>Y8-Y7</f>
        <v>-2.0202040141192867E-3</v>
      </c>
    </row>
    <row r="9" spans="1:36" x14ac:dyDescent="0.35">
      <c r="A9" s="2">
        <v>46027</v>
      </c>
      <c r="B9" s="3">
        <v>13.701000000000001</v>
      </c>
      <c r="C9" s="3">
        <v>12.994999999999999</v>
      </c>
      <c r="D9" s="3">
        <v>13.317</v>
      </c>
      <c r="E9" s="3">
        <v>13.48</v>
      </c>
      <c r="F9" s="3">
        <v>5.5130999999999999E-2</v>
      </c>
      <c r="G9" s="3">
        <f>NETWORKDAYS($A9,B$4,Feriados!$A$2:$A$1265)</f>
        <v>248</v>
      </c>
      <c r="H9" s="3">
        <f>NETWORKDAYS($A9,C$4,Feriados!$A$2:$A$1265)</f>
        <v>499</v>
      </c>
      <c r="I9" s="3">
        <f>NETWORKDAYS($A9,D$4,Feriados!$A$2:$A$1265)</f>
        <v>1248</v>
      </c>
      <c r="J9" s="3">
        <f>NETWORKDAYS($A9,E$4,Feriados!$A$2:$A$1265)</f>
        <v>2251</v>
      </c>
      <c r="K9" s="3">
        <f t="shared" si="2"/>
        <v>88129.410078419925</v>
      </c>
      <c r="L9" s="3">
        <f t="shared" si="2"/>
        <v>78511.687036381147</v>
      </c>
      <c r="M9" s="3">
        <f t="shared" si="2"/>
        <v>53840.630603154335</v>
      </c>
      <c r="N9" s="3">
        <f t="shared" si="2"/>
        <v>32316.992029248391</v>
      </c>
      <c r="O9" s="3">
        <f t="shared" si="3"/>
        <v>-7.6279479119238731</v>
      </c>
      <c r="P9" s="3">
        <f t="shared" si="3"/>
        <v>-13.758626709551763</v>
      </c>
      <c r="Q9" s="3">
        <f t="shared" si="3"/>
        <v>-23.530389391109942</v>
      </c>
      <c r="R9" s="3">
        <f t="shared" si="3"/>
        <v>-25.438210585264351</v>
      </c>
      <c r="S9" s="3">
        <f t="shared" si="4"/>
        <v>-1.3709304655349115</v>
      </c>
      <c r="T9" s="3">
        <f t="shared" si="4"/>
        <v>60.927345288437209</v>
      </c>
      <c r="U9" s="3">
        <f t="shared" si="4"/>
        <v>11.164040428528097</v>
      </c>
      <c r="V9" s="3">
        <f t="shared" si="4"/>
        <v>-139.35440730813207</v>
      </c>
      <c r="W9" s="23">
        <f t="shared" si="0"/>
        <v>12.301743817127253</v>
      </c>
      <c r="X9" s="23">
        <f t="shared" si="1"/>
        <v>13.683142961280147</v>
      </c>
      <c r="Y9" s="23">
        <f t="shared" si="5"/>
        <v>-1.3813991441528941</v>
      </c>
      <c r="Z9" s="3" cm="1">
        <f t="array" ref="Z9">SUMPRODUCT(S9:V9,TRANSPOSE($AH$2:$AH$5))</f>
        <v>-78.265250814662977</v>
      </c>
      <c r="AA9" s="23">
        <f t="shared" ref="AA9:AA63" si="6">Y9-Y8</f>
        <v>-0.21806984941530239</v>
      </c>
      <c r="AC9" s="23"/>
    </row>
    <row r="10" spans="1:36" x14ac:dyDescent="0.35">
      <c r="A10" s="2">
        <v>46028</v>
      </c>
      <c r="B10" s="3">
        <v>13.728</v>
      </c>
      <c r="C10" s="3">
        <v>12.987</v>
      </c>
      <c r="D10" s="3">
        <v>13.305</v>
      </c>
      <c r="E10" s="3">
        <v>13.51</v>
      </c>
      <c r="F10" s="3">
        <v>5.5130999999999999E-2</v>
      </c>
      <c r="G10" s="3">
        <f>NETWORKDAYS($A10,B$4,Feriados!$A$2:$A$1265)</f>
        <v>247</v>
      </c>
      <c r="H10" s="3">
        <f>NETWORKDAYS($A10,C$4,Feriados!$A$2:$A$1265)</f>
        <v>498</v>
      </c>
      <c r="I10" s="3">
        <f>NETWORKDAYS($A10,D$4,Feriados!$A$2:$A$1265)</f>
        <v>1247</v>
      </c>
      <c r="J10" s="3">
        <f>NETWORKDAYS($A10,E$4,Feriados!$A$2:$A$1265)</f>
        <v>2250</v>
      </c>
      <c r="K10" s="3">
        <f t="shared" si="2"/>
        <v>88153.808212611839</v>
      </c>
      <c r="L10" s="3">
        <f t="shared" si="2"/>
        <v>78560.751237921548</v>
      </c>
      <c r="M10" s="3">
        <f t="shared" si="2"/>
        <v>53895.584689866067</v>
      </c>
      <c r="N10" s="3">
        <f t="shared" si="2"/>
        <v>32256.994173243493</v>
      </c>
      <c r="O10" s="3">
        <f t="shared" si="3"/>
        <v>-7.597489159778581</v>
      </c>
      <c r="P10" s="3">
        <f t="shared" si="3"/>
        <v>-13.740608069844294</v>
      </c>
      <c r="Q10" s="3">
        <f t="shared" si="3"/>
        <v>-23.538025300534866</v>
      </c>
      <c r="R10" s="3">
        <f t="shared" si="3"/>
        <v>-25.372995907569102</v>
      </c>
      <c r="S10" s="3">
        <f t="shared" si="4"/>
        <v>-24.188490878426819</v>
      </c>
      <c r="T10" s="3">
        <f t="shared" si="4"/>
        <v>5.7799233603727771</v>
      </c>
      <c r="U10" s="3">
        <f t="shared" si="4"/>
        <v>25.271208653903159</v>
      </c>
      <c r="V10" s="3">
        <f t="shared" si="4"/>
        <v>-77.814536880545347</v>
      </c>
      <c r="W10" s="23">
        <f t="shared" si="0"/>
        <v>12.262522150073686</v>
      </c>
      <c r="X10" s="23">
        <f t="shared" si="1"/>
        <v>13.765387685223462</v>
      </c>
      <c r="Y10" s="23">
        <f t="shared" si="5"/>
        <v>-1.5028655351497768</v>
      </c>
      <c r="Z10" s="3" cm="1">
        <f t="array" ref="Z10">SUMPRODUCT(S10:V10,TRANSPOSE($AH$2:$AH$5))</f>
        <v>-43.555026113711776</v>
      </c>
      <c r="AA10" s="23">
        <f t="shared" si="6"/>
        <v>-0.12146639099688272</v>
      </c>
    </row>
    <row r="11" spans="1:36" x14ac:dyDescent="0.35">
      <c r="A11" s="2">
        <v>46029</v>
      </c>
      <c r="B11" s="3">
        <v>13.686</v>
      </c>
      <c r="C11" s="3">
        <v>12.983000000000001</v>
      </c>
      <c r="D11" s="3">
        <v>13.347</v>
      </c>
      <c r="E11" s="3">
        <v>13.568</v>
      </c>
      <c r="F11" s="3">
        <v>5.5130999999999999E-2</v>
      </c>
      <c r="G11" s="3">
        <f>NETWORKDAYS($A11,B$4,Feriados!$A$2:$A$1265)</f>
        <v>246</v>
      </c>
      <c r="H11" s="3">
        <f>NETWORKDAYS($A11,C$4,Feriados!$A$2:$A$1265)</f>
        <v>497</v>
      </c>
      <c r="I11" s="3">
        <f>NETWORKDAYS($A11,D$4,Feriados!$A$2:$A$1265)</f>
        <v>1246</v>
      </c>
      <c r="J11" s="3">
        <f>NETWORKDAYS($A11,E$4,Feriados!$A$2:$A$1265)</f>
        <v>2249</v>
      </c>
      <c r="K11" s="3">
        <f t="shared" si="2"/>
        <v>88230.628027386105</v>
      </c>
      <c r="L11" s="3">
        <f t="shared" si="2"/>
        <v>78604.313974501347</v>
      </c>
      <c r="M11" s="3">
        <f t="shared" si="2"/>
        <v>53823.586037245797</v>
      </c>
      <c r="N11" s="3">
        <f t="shared" si="2"/>
        <v>32126.419522700962</v>
      </c>
      <c r="O11" s="3">
        <f t="shared" si="3"/>
        <v>-7.5761218433790285</v>
      </c>
      <c r="P11" s="3">
        <f t="shared" si="3"/>
        <v>-13.721106253422578</v>
      </c>
      <c r="Q11" s="3">
        <f t="shared" si="3"/>
        <v>-23.479027319817689</v>
      </c>
      <c r="R11" s="3">
        <f t="shared" si="3"/>
        <v>-25.246156105675048</v>
      </c>
      <c r="S11" s="3">
        <f t="shared" si="4"/>
        <v>28.219738768559182</v>
      </c>
      <c r="T11" s="3">
        <f t="shared" si="4"/>
        <v>0.25140881481638644</v>
      </c>
      <c r="U11" s="3">
        <f t="shared" si="4"/>
        <v>-101.71182741564553</v>
      </c>
      <c r="V11" s="3">
        <f t="shared" si="4"/>
        <v>-148.35825400018439</v>
      </c>
      <c r="W11" s="23">
        <f t="shared" si="0"/>
        <v>12.298222265785519</v>
      </c>
      <c r="X11" s="23">
        <f t="shared" si="1"/>
        <v>13.843142603998349</v>
      </c>
      <c r="Y11" s="23">
        <f t="shared" si="5"/>
        <v>-1.5449203382128296</v>
      </c>
      <c r="Z11" s="3" cm="1">
        <f t="array" ref="Z11">SUMPRODUCT(S11:V11,TRANSPOSE($AH$2:$AH$5))</f>
        <v>-14.965770281734244</v>
      </c>
      <c r="AA11" s="23">
        <f t="shared" si="6"/>
        <v>-4.2054803063052759E-2</v>
      </c>
    </row>
    <row r="12" spans="1:36" x14ac:dyDescent="0.35">
      <c r="A12" s="2">
        <v>46030</v>
      </c>
      <c r="B12" s="3">
        <v>13.718999999999999</v>
      </c>
      <c r="C12" s="3">
        <v>13.010999999999999</v>
      </c>
      <c r="D12" s="3">
        <v>13.31</v>
      </c>
      <c r="E12" s="3">
        <v>13.523</v>
      </c>
      <c r="F12" s="3">
        <v>5.5130999999999999E-2</v>
      </c>
      <c r="G12" s="3">
        <f>NETWORKDAYS($A12,B$4,Feriados!$A$2:$A$1265)</f>
        <v>245</v>
      </c>
      <c r="H12" s="3">
        <f>NETWORKDAYS($A12,C$4,Feriados!$A$2:$A$1265)</f>
        <v>496</v>
      </c>
      <c r="I12" s="3">
        <f>NETWORKDAYS($A12,D$4,Feriados!$A$2:$A$1265)</f>
        <v>1245</v>
      </c>
      <c r="J12" s="3">
        <f>NETWORKDAYS($A12,E$4,Feriados!$A$2:$A$1265)</f>
        <v>2248</v>
      </c>
      <c r="K12" s="3">
        <f t="shared" si="2"/>
        <v>88250.644456081995</v>
      </c>
      <c r="L12" s="3">
        <f t="shared" si="2"/>
        <v>78604.052353716805</v>
      </c>
      <c r="M12" s="3">
        <f t="shared" si="2"/>
        <v>53937.281609632635</v>
      </c>
      <c r="N12" s="3">
        <f t="shared" si="2"/>
        <v>32256.482002121131</v>
      </c>
      <c r="O12" s="3">
        <f t="shared" si="3"/>
        <v>-7.5448463023448396</v>
      </c>
      <c r="P12" s="3">
        <f t="shared" si="3"/>
        <v>-13.690060079642315</v>
      </c>
      <c r="Q12" s="3">
        <f t="shared" si="3"/>
        <v>-23.517417312805517</v>
      </c>
      <c r="R12" s="3">
        <f t="shared" si="3"/>
        <v>-25.347136682870751</v>
      </c>
      <c r="S12" s="3">
        <f t="shared" si="4"/>
        <v>-28.625998841889668</v>
      </c>
      <c r="T12" s="3">
        <f t="shared" si="4"/>
        <v>-43.596965121832909</v>
      </c>
      <c r="U12" s="3">
        <f t="shared" si="4"/>
        <v>84.022091168641055</v>
      </c>
      <c r="V12" s="3">
        <f t="shared" si="4"/>
        <v>112.35086307310485</v>
      </c>
      <c r="W12" s="23">
        <f t="shared" si="0"/>
        <v>12.324175638337032</v>
      </c>
      <c r="X12" s="23">
        <f t="shared" si="1"/>
        <v>13.787948869671851</v>
      </c>
      <c r="Y12" s="23">
        <f t="shared" si="5"/>
        <v>-1.4637732313348195</v>
      </c>
      <c r="Z12" s="3" cm="1">
        <f t="array" ref="Z12">SUMPRODUCT(S12:V12,TRANSPOSE($AH$2:$AH$5))</f>
        <v>28.908145932442654</v>
      </c>
      <c r="AA12" s="23">
        <f t="shared" si="6"/>
        <v>8.1147106878010078E-2</v>
      </c>
    </row>
    <row r="13" spans="1:36" x14ac:dyDescent="0.35">
      <c r="A13" s="2">
        <v>46031</v>
      </c>
      <c r="B13" s="3">
        <v>13.763</v>
      </c>
      <c r="C13" s="3">
        <v>13.07</v>
      </c>
      <c r="D13" s="3">
        <v>13.358000000000001</v>
      </c>
      <c r="E13" s="3">
        <v>13.545999999999999</v>
      </c>
      <c r="F13" s="3">
        <v>5.5130999999999999E-2</v>
      </c>
      <c r="G13" s="3">
        <f>NETWORKDAYS($A13,B$4,Feriados!$A$2:$A$1265)</f>
        <v>244</v>
      </c>
      <c r="H13" s="3">
        <f>NETWORKDAYS($A13,C$4,Feriados!$A$2:$A$1265)</f>
        <v>495</v>
      </c>
      <c r="I13" s="3">
        <f>NETWORKDAYS($A13,D$4,Feriados!$A$2:$A$1265)</f>
        <v>1244</v>
      </c>
      <c r="J13" s="3">
        <f>NETWORKDAYS($A13,E$4,Feriados!$A$2:$A$1265)</f>
        <v>2247</v>
      </c>
      <c r="K13" s="3">
        <f t="shared" si="2"/>
        <v>88262.611781751591</v>
      </c>
      <c r="L13" s="3">
        <f t="shared" si="2"/>
        <v>78561.628920958814</v>
      </c>
      <c r="M13" s="3">
        <f t="shared" si="2"/>
        <v>53851.326573747348</v>
      </c>
      <c r="N13" s="3">
        <f t="shared" si="2"/>
        <v>32214.477953470589</v>
      </c>
      <c r="O13" s="3">
        <f t="shared" si="3"/>
        <v>-7.5121633664847485</v>
      </c>
      <c r="P13" s="3">
        <f t="shared" si="3"/>
        <v>-13.647960146851934</v>
      </c>
      <c r="Q13" s="3">
        <f t="shared" si="3"/>
        <v>-23.451146017288991</v>
      </c>
      <c r="R13" s="3">
        <f t="shared" si="3"/>
        <v>-25.297743800026371</v>
      </c>
      <c r="S13" s="3">
        <f t="shared" si="4"/>
        <v>-36.686137125492678</v>
      </c>
      <c r="T13" s="3">
        <f t="shared" si="4"/>
        <v>-85.758632861121441</v>
      </c>
      <c r="U13" s="3">
        <f t="shared" si="4"/>
        <v>-115.69119860950013</v>
      </c>
      <c r="V13" s="3">
        <f t="shared" si="4"/>
        <v>-59.787369743135059</v>
      </c>
      <c r="W13" s="23">
        <f t="shared" si="0"/>
        <v>12.400373455113911</v>
      </c>
      <c r="X13" s="23">
        <f t="shared" si="1"/>
        <v>13.779605706824283</v>
      </c>
      <c r="Y13" s="23">
        <f t="shared" si="5"/>
        <v>-1.3792322517103717</v>
      </c>
      <c r="Z13" s="3" cm="1">
        <f t="array" ref="Z13">SUMPRODUCT(S13:V13,TRANSPOSE($AH$2:$AH$5))</f>
        <v>30.37304280377969</v>
      </c>
      <c r="AA13" s="23">
        <f t="shared" si="6"/>
        <v>8.4540979624447843E-2</v>
      </c>
    </row>
    <row r="14" spans="1:36" x14ac:dyDescent="0.35">
      <c r="A14" s="2">
        <v>46034</v>
      </c>
      <c r="B14" s="3">
        <v>13.741</v>
      </c>
      <c r="C14" s="3">
        <v>13.022</v>
      </c>
      <c r="D14" s="3">
        <v>13.289</v>
      </c>
      <c r="E14" s="3">
        <v>13.481999999999999</v>
      </c>
      <c r="F14" s="3">
        <v>5.5130999999999999E-2</v>
      </c>
      <c r="G14" s="3">
        <f>NETWORKDAYS($A14,B$4,Feriados!$A$2:$A$1265)</f>
        <v>243</v>
      </c>
      <c r="H14" s="3">
        <f>NETWORKDAYS($A14,C$4,Feriados!$A$2:$A$1265)</f>
        <v>494</v>
      </c>
      <c r="I14" s="3">
        <f>NETWORKDAYS($A14,D$4,Feriados!$A$2:$A$1265)</f>
        <v>1243</v>
      </c>
      <c r="J14" s="3">
        <f>NETWORKDAYS($A14,E$4,Feriados!$A$2:$A$1265)</f>
        <v>2246</v>
      </c>
      <c r="K14" s="3">
        <f t="shared" si="2"/>
        <v>88324.257458924403</v>
      </c>
      <c r="L14" s="3">
        <f t="shared" si="2"/>
        <v>78665.383833298212</v>
      </c>
      <c r="M14" s="3">
        <f t="shared" si="2"/>
        <v>54040.182354655692</v>
      </c>
      <c r="N14" s="3">
        <f t="shared" si="2"/>
        <v>32393.090332140175</v>
      </c>
      <c r="O14" s="3">
        <f t="shared" si="3"/>
        <v>-7.4880491372973905</v>
      </c>
      <c r="P14" s="3">
        <f t="shared" si="3"/>
        <v>-13.64416887428902</v>
      </c>
      <c r="Q14" s="3">
        <f t="shared" si="3"/>
        <v>-23.528793079294545</v>
      </c>
      <c r="R14" s="3">
        <f t="shared" si="3"/>
        <v>-25.441025430082483</v>
      </c>
      <c r="S14" s="3">
        <f t="shared" si="4"/>
        <v>12.985616671401658</v>
      </c>
      <c r="T14" s="3">
        <f t="shared" si="4"/>
        <v>60.443100698976195</v>
      </c>
      <c r="U14" s="3">
        <f t="shared" si="4"/>
        <v>159.1670060549659</v>
      </c>
      <c r="V14" s="3">
        <f t="shared" si="4"/>
        <v>160.85221482905399</v>
      </c>
      <c r="W14" s="23">
        <f t="shared" si="0"/>
        <v>12.330246711947535</v>
      </c>
      <c r="X14" s="23">
        <f t="shared" si="1"/>
        <v>13.721637739257698</v>
      </c>
      <c r="Y14" s="23">
        <f t="shared" si="5"/>
        <v>-1.3913910273101635</v>
      </c>
      <c r="Z14" s="3" cm="1">
        <f t="array" ref="Z14">SUMPRODUCT(S14:V14,TRANSPOSE($AH$2:$AH$5))</f>
        <v>-4.3956539163025141</v>
      </c>
      <c r="AA14" s="23">
        <f t="shared" si="6"/>
        <v>-1.2158775599791838E-2</v>
      </c>
    </row>
    <row r="15" spans="1:36" x14ac:dyDescent="0.35">
      <c r="A15" s="2">
        <v>46035</v>
      </c>
      <c r="B15" s="3">
        <v>13.698</v>
      </c>
      <c r="C15" s="3">
        <v>12.971</v>
      </c>
      <c r="D15" s="3">
        <v>13.291</v>
      </c>
      <c r="E15" s="3">
        <v>13.532</v>
      </c>
      <c r="F15" s="3">
        <v>5.5130999999999999E-2</v>
      </c>
      <c r="G15" s="3">
        <f>NETWORKDAYS($A15,B$4,Feriados!$A$2:$A$1265)</f>
        <v>242</v>
      </c>
      <c r="H15" s="3">
        <f>NETWORKDAYS($A15,C$4,Feriados!$A$2:$A$1265)</f>
        <v>493</v>
      </c>
      <c r="I15" s="3">
        <f>NETWORKDAYS($A15,D$4,Feriados!$A$2:$A$1265)</f>
        <v>1242</v>
      </c>
      <c r="J15" s="3">
        <f>NETWORKDAYS($A15,E$4,Feriados!$A$2:$A$1265)</f>
        <v>2245</v>
      </c>
      <c r="K15" s="3">
        <f t="shared" si="2"/>
        <v>88401.490674575616</v>
      </c>
      <c r="L15" s="3">
        <f t="shared" si="2"/>
        <v>78773.13036997091</v>
      </c>
      <c r="M15" s="3">
        <f t="shared" si="2"/>
        <v>54062.241653360703</v>
      </c>
      <c r="N15" s="3">
        <f t="shared" si="2"/>
        <v>32282.416819054943</v>
      </c>
      <c r="O15" s="3">
        <f t="shared" si="3"/>
        <v>-7.4665776893952494</v>
      </c>
      <c r="P15" s="3">
        <f t="shared" si="3"/>
        <v>-13.641354956664555</v>
      </c>
      <c r="Q15" s="3">
        <f t="shared" si="3"/>
        <v>-23.519045606206824</v>
      </c>
      <c r="R15" s="3">
        <f t="shared" si="3"/>
        <v>-25.331654539038549</v>
      </c>
      <c r="S15" s="3">
        <f t="shared" si="4"/>
        <v>28.539169271520223</v>
      </c>
      <c r="T15" s="3">
        <f t="shared" si="4"/>
        <v>64.37752391154936</v>
      </c>
      <c r="U15" s="3">
        <f t="shared" si="4"/>
        <v>-7.7335942289355444</v>
      </c>
      <c r="V15" s="3">
        <f t="shared" si="4"/>
        <v>-128.53214771624698</v>
      </c>
      <c r="W15" s="23">
        <f t="shared" si="0"/>
        <v>12.274469567408829</v>
      </c>
      <c r="X15" s="23">
        <f t="shared" si="1"/>
        <v>13.831137308216901</v>
      </c>
      <c r="Y15" s="23">
        <f t="shared" si="5"/>
        <v>-1.5566677408080718</v>
      </c>
      <c r="Z15" s="3" cm="1">
        <f t="array" ref="Z15">SUMPRODUCT(S15:V15,TRANSPOSE($AH$2:$AH$5))</f>
        <v>-59.357476534256975</v>
      </c>
      <c r="AA15" s="23">
        <f t="shared" si="6"/>
        <v>-0.16527671349790829</v>
      </c>
    </row>
    <row r="16" spans="1:36" x14ac:dyDescent="0.35">
      <c r="A16" s="2">
        <v>46036</v>
      </c>
      <c r="B16" s="3">
        <v>13.74</v>
      </c>
      <c r="C16" s="3">
        <v>13.045999999999999</v>
      </c>
      <c r="D16" s="3">
        <v>13.339</v>
      </c>
      <c r="E16" s="3">
        <v>13.557</v>
      </c>
      <c r="F16" s="3">
        <v>5.5130999999999999E-2</v>
      </c>
      <c r="G16" s="3">
        <f>NETWORKDAYS($A16,B$4,Feriados!$A$2:$A$1265)</f>
        <v>241</v>
      </c>
      <c r="H16" s="3">
        <f>NETWORKDAYS($A16,C$4,Feriados!$A$2:$A$1265)</f>
        <v>492</v>
      </c>
      <c r="I16" s="3">
        <f>NETWORKDAYS($A16,D$4,Feriados!$A$2:$A$1265)</f>
        <v>1241</v>
      </c>
      <c r="J16" s="3">
        <f>NETWORKDAYS($A16,E$4,Feriados!$A$2:$A$1265)</f>
        <v>2244</v>
      </c>
      <c r="K16" s="3">
        <f t="shared" si="2"/>
        <v>88415.301592368109</v>
      </c>
      <c r="L16" s="3">
        <f t="shared" si="2"/>
        <v>78709.2115529086</v>
      </c>
      <c r="M16" s="3">
        <f t="shared" si="2"/>
        <v>53976.304831679729</v>
      </c>
      <c r="N16" s="3">
        <f t="shared" si="2"/>
        <v>32235.415475650221</v>
      </c>
      <c r="O16" s="3">
        <f t="shared" si="3"/>
        <v>-7.434139573323983</v>
      </c>
      <c r="P16" s="3">
        <f t="shared" si="3"/>
        <v>-13.593613698213254</v>
      </c>
      <c r="Q16" s="3">
        <f t="shared" si="3"/>
        <v>-23.452816958631953</v>
      </c>
      <c r="R16" s="3">
        <f t="shared" si="3"/>
        <v>-25.277939687711235</v>
      </c>
      <c r="S16" s="3">
        <f t="shared" si="4"/>
        <v>-34.925708031310933</v>
      </c>
      <c r="T16" s="3">
        <f t="shared" si="4"/>
        <v>-107.34723156658583</v>
      </c>
      <c r="U16" s="3">
        <f t="shared" si="4"/>
        <v>-115.74187612689275</v>
      </c>
      <c r="V16" s="3">
        <f t="shared" si="4"/>
        <v>-64.798962621236569</v>
      </c>
      <c r="W16" s="23">
        <f t="shared" si="0"/>
        <v>12.38363456153715</v>
      </c>
      <c r="X16" s="23">
        <f t="shared" si="1"/>
        <v>13.827309260365194</v>
      </c>
      <c r="Y16" s="23">
        <f t="shared" si="5"/>
        <v>-1.443674698828044</v>
      </c>
      <c r="Z16" s="3" cm="1">
        <f t="array" ref="Z16">SUMPRODUCT(S16:V16,TRANSPOSE($AH$2:$AH$5))</f>
        <v>40.639911996335996</v>
      </c>
      <c r="AA16" s="23">
        <f t="shared" si="6"/>
        <v>0.1129930419800278</v>
      </c>
    </row>
    <row r="17" spans="1:27" x14ac:dyDescent="0.35">
      <c r="A17" s="2">
        <v>46037</v>
      </c>
      <c r="B17" s="3">
        <v>13.753</v>
      </c>
      <c r="C17" s="3">
        <v>13.087</v>
      </c>
      <c r="D17" s="3">
        <v>13.372</v>
      </c>
      <c r="E17" s="3">
        <v>13.585000000000001</v>
      </c>
      <c r="F17" s="3">
        <v>5.5130999999999999E-2</v>
      </c>
      <c r="G17" s="3">
        <f>NETWORKDAYS($A17,B$4,Feriados!$A$2:$A$1265)</f>
        <v>240</v>
      </c>
      <c r="H17" s="3">
        <f>NETWORKDAYS($A17,C$4,Feriados!$A$2:$A$1265)</f>
        <v>491</v>
      </c>
      <c r="I17" s="3">
        <f>NETWORKDAYS($A17,D$4,Feriados!$A$2:$A$1265)</f>
        <v>1240</v>
      </c>
      <c r="J17" s="3">
        <f>NETWORKDAYS($A17,E$4,Feriados!$A$2:$A$1265)</f>
        <v>2243</v>
      </c>
      <c r="K17" s="3">
        <f t="shared" si="2"/>
        <v>88450.855739344348</v>
      </c>
      <c r="L17" s="3">
        <f t="shared" si="2"/>
        <v>78691.90335292797</v>
      </c>
      <c r="M17" s="3">
        <f t="shared" si="2"/>
        <v>53925.827387378951</v>
      </c>
      <c r="N17" s="3">
        <f t="shared" si="2"/>
        <v>32180.986369678132</v>
      </c>
      <c r="O17" s="3">
        <f t="shared" si="3"/>
        <v>-7.405423173713837</v>
      </c>
      <c r="P17" s="3">
        <f t="shared" si="3"/>
        <v>-13.558083931407646</v>
      </c>
      <c r="Q17" s="3">
        <f t="shared" si="3"/>
        <v>-23.405189056069212</v>
      </c>
      <c r="R17" s="3">
        <f t="shared" si="3"/>
        <v>-25.217794528811737</v>
      </c>
      <c r="S17" s="3">
        <f t="shared" si="4"/>
        <v>-13.190092944656499</v>
      </c>
      <c r="T17" s="3">
        <f t="shared" si="4"/>
        <v>-60.701375401869882</v>
      </c>
      <c r="U17" s="3">
        <f t="shared" si="4"/>
        <v>-80.235120917532186</v>
      </c>
      <c r="V17" s="3">
        <f t="shared" si="4"/>
        <v>-72.200812877970748</v>
      </c>
      <c r="W17" s="23">
        <f t="shared" si="0"/>
        <v>12.45383427056932</v>
      </c>
      <c r="X17" s="23">
        <f t="shared" si="1"/>
        <v>13.848883279476286</v>
      </c>
      <c r="Y17" s="23">
        <f t="shared" si="5"/>
        <v>-1.395049008906966</v>
      </c>
      <c r="Z17" s="3" cm="1">
        <f t="array" ref="Z17">SUMPRODUCT(S17:V17,TRANSPOSE($AH$2:$AH$5))</f>
        <v>17.492103625657364</v>
      </c>
      <c r="AA17" s="23">
        <f t="shared" si="6"/>
        <v>4.8625689921077964E-2</v>
      </c>
    </row>
    <row r="18" spans="1:27" x14ac:dyDescent="0.35">
      <c r="A18" s="2">
        <v>46038</v>
      </c>
      <c r="B18" s="3">
        <v>13.811999999999999</v>
      </c>
      <c r="C18" s="3">
        <v>13.204000000000001</v>
      </c>
      <c r="D18" s="3">
        <v>13.512</v>
      </c>
      <c r="E18" s="3">
        <v>13.728999999999999</v>
      </c>
      <c r="F18" s="3">
        <v>5.5130999999999999E-2</v>
      </c>
      <c r="G18" s="3">
        <f>NETWORKDAYS($A18,B$4,Feriados!$A$2:$A$1265)</f>
        <v>239</v>
      </c>
      <c r="H18" s="3">
        <f>NETWORKDAYS($A18,C$4,Feriados!$A$2:$A$1265)</f>
        <v>490</v>
      </c>
      <c r="I18" s="3">
        <f>NETWORKDAYS($A18,D$4,Feriados!$A$2:$A$1265)</f>
        <v>1239</v>
      </c>
      <c r="J18" s="3">
        <f>NETWORKDAYS($A18,E$4,Feriados!$A$2:$A$1265)</f>
        <v>2242</v>
      </c>
      <c r="K18" s="3">
        <f t="shared" si="2"/>
        <v>88452.586099155931</v>
      </c>
      <c r="L18" s="3">
        <f t="shared" si="2"/>
        <v>78572.175017089932</v>
      </c>
      <c r="M18" s="3">
        <f t="shared" si="2"/>
        <v>53626.312684926444</v>
      </c>
      <c r="N18" s="3">
        <f t="shared" si="2"/>
        <v>31836.367305566229</v>
      </c>
      <c r="O18" s="3">
        <f t="shared" si="3"/>
        <v>-7.3708884708011464</v>
      </c>
      <c r="P18" s="3">
        <f t="shared" si="3"/>
        <v>-13.495921451529723</v>
      </c>
      <c r="Q18" s="3">
        <f t="shared" si="3"/>
        <v>-23.227738391907611</v>
      </c>
      <c r="R18" s="3">
        <f t="shared" si="3"/>
        <v>-24.905046310687986</v>
      </c>
      <c r="S18" s="3">
        <f t="shared" si="4"/>
        <v>-47.033481466089142</v>
      </c>
      <c r="T18" s="3">
        <f t="shared" si="4"/>
        <v>-163.11196907554404</v>
      </c>
      <c r="U18" s="3">
        <f t="shared" si="4"/>
        <v>-329.24455034944549</v>
      </c>
      <c r="V18" s="3">
        <f t="shared" si="4"/>
        <v>-362.36076370737283</v>
      </c>
      <c r="W18" s="23">
        <f t="shared" si="0"/>
        <v>12.628086795513438</v>
      </c>
      <c r="X18" s="23">
        <f t="shared" si="1"/>
        <v>13.997631643080899</v>
      </c>
      <c r="Y18" s="23">
        <f t="shared" si="5"/>
        <v>-1.369544847567461</v>
      </c>
      <c r="Z18" s="3" cm="1">
        <f t="array" ref="Z18">SUMPRODUCT(S18:V18,TRANSPOSE($AH$2:$AH$5))</f>
        <v>9.984087597449502</v>
      </c>
      <c r="AA18" s="23">
        <f t="shared" si="6"/>
        <v>2.550416133950506E-2</v>
      </c>
    </row>
    <row r="19" spans="1:27" x14ac:dyDescent="0.35">
      <c r="A19" s="2">
        <v>46041</v>
      </c>
      <c r="B19" s="3">
        <v>13.762</v>
      </c>
      <c r="C19" s="3">
        <v>13.14</v>
      </c>
      <c r="D19" s="3">
        <v>13.484</v>
      </c>
      <c r="E19" s="3">
        <v>13.708</v>
      </c>
      <c r="F19" s="3">
        <v>5.5130999999999999E-2</v>
      </c>
      <c r="G19" s="3">
        <f>NETWORKDAYS($A19,B$4,Feriados!$A$2:$A$1265)</f>
        <v>238</v>
      </c>
      <c r="H19" s="3">
        <f>NETWORKDAYS($A19,C$4,Feriados!$A$2:$A$1265)</f>
        <v>489</v>
      </c>
      <c r="I19" s="3">
        <f>NETWORKDAYS($A19,D$4,Feriados!$A$2:$A$1265)</f>
        <v>1238</v>
      </c>
      <c r="J19" s="3">
        <f>NETWORKDAYS($A19,E$4,Feriados!$A$2:$A$1265)</f>
        <v>2241</v>
      </c>
      <c r="K19" s="3">
        <f t="shared" si="2"/>
        <v>88534.74443624691</v>
      </c>
      <c r="L19" s="3">
        <f t="shared" si="2"/>
        <v>78697.165471313841</v>
      </c>
      <c r="M19" s="3">
        <f t="shared" si="2"/>
        <v>53718.355059591602</v>
      </c>
      <c r="N19" s="3">
        <f t="shared" si="2"/>
        <v>31904.975971864493</v>
      </c>
      <c r="O19" s="3">
        <f t="shared" si="3"/>
        <v>-7.3500947173152786</v>
      </c>
      <c r="P19" s="3">
        <f t="shared" si="3"/>
        <v>-13.4974346698824</v>
      </c>
      <c r="Q19" s="3">
        <f t="shared" si="3"/>
        <v>-23.254562549260285</v>
      </c>
      <c r="R19" s="3">
        <f t="shared" si="3"/>
        <v>-24.952192762521602</v>
      </c>
      <c r="S19" s="3">
        <f t="shared" si="4"/>
        <v>33.393541848650784</v>
      </c>
      <c r="T19" s="3">
        <f t="shared" si="4"/>
        <v>81.672828415234108</v>
      </c>
      <c r="U19" s="3">
        <f t="shared" si="4"/>
        <v>62.477652218825824</v>
      </c>
      <c r="V19" s="3">
        <f t="shared" si="4"/>
        <v>51.056958639030199</v>
      </c>
      <c r="W19" s="23">
        <f t="shared" si="0"/>
        <v>12.553356609900046</v>
      </c>
      <c r="X19" s="23">
        <f t="shared" si="1"/>
        <v>13.985092312382474</v>
      </c>
      <c r="Y19" s="23">
        <f t="shared" si="5"/>
        <v>-1.4317357024824275</v>
      </c>
      <c r="Z19" s="3" cm="1">
        <f t="array" ref="Z19">SUMPRODUCT(S19:V19,TRANSPOSE($AH$2:$AH$5))</f>
        <v>-22.352908090284398</v>
      </c>
      <c r="AA19" s="23">
        <f t="shared" si="6"/>
        <v>-6.2190854914966565E-2</v>
      </c>
    </row>
    <row r="20" spans="1:27" x14ac:dyDescent="0.35">
      <c r="A20" s="2">
        <v>46042</v>
      </c>
      <c r="B20" s="3">
        <v>13.798</v>
      </c>
      <c r="C20" s="3">
        <v>13.196999999999999</v>
      </c>
      <c r="D20" s="3">
        <v>13.571</v>
      </c>
      <c r="E20" s="3">
        <v>13.804</v>
      </c>
      <c r="F20" s="3">
        <v>5.5130999999999999E-2</v>
      </c>
      <c r="G20" s="3">
        <f>NETWORKDAYS($A20,B$4,Feriados!$A$2:$A$1265)</f>
        <v>237</v>
      </c>
      <c r="H20" s="3">
        <f>NETWORKDAYS($A20,C$4,Feriados!$A$2:$A$1265)</f>
        <v>488</v>
      </c>
      <c r="I20" s="3">
        <f>NETWORKDAYS($A20,D$4,Feriados!$A$2:$A$1265)</f>
        <v>1237</v>
      </c>
      <c r="J20" s="3">
        <f>NETWORKDAYS($A20,E$4,Feriados!$A$2:$A$1265)</f>
        <v>2240</v>
      </c>
      <c r="K20" s="3">
        <f t="shared" si="2"/>
        <v>88553.701172237415</v>
      </c>
      <c r="L20" s="3">
        <f t="shared" si="2"/>
        <v>78658.970086552712</v>
      </c>
      <c r="M20" s="3">
        <f t="shared" si="2"/>
        <v>53543.530319708974</v>
      </c>
      <c r="N20" s="3">
        <f t="shared" si="2"/>
        <v>31682.685217922317</v>
      </c>
      <c r="O20" s="3">
        <f t="shared" si="3"/>
        <v>-7.3184632006742483</v>
      </c>
      <c r="P20" s="3">
        <f t="shared" si="3"/>
        <v>-13.45651561880171</v>
      </c>
      <c r="Q20" s="3">
        <f t="shared" si="3"/>
        <v>-23.14241682165677</v>
      </c>
      <c r="R20" s="3">
        <f t="shared" si="3"/>
        <v>-24.746394555881508</v>
      </c>
      <c r="S20" s="3">
        <f t="shared" si="4"/>
        <v>-29.853353964645066</v>
      </c>
      <c r="T20" s="3">
        <f t="shared" si="4"/>
        <v>-81.581919057120103</v>
      </c>
      <c r="U20" s="3">
        <f t="shared" si="4"/>
        <v>-204.44020621053642</v>
      </c>
      <c r="V20" s="3">
        <f t="shared" si="4"/>
        <v>-239.88028624522849</v>
      </c>
      <c r="W20" s="23">
        <f t="shared" si="0"/>
        <v>12.632435631883588</v>
      </c>
      <c r="X20" s="23">
        <f t="shared" si="1"/>
        <v>14.092017337909969</v>
      </c>
      <c r="Y20" s="23">
        <f t="shared" si="5"/>
        <v>-1.4595817060263805</v>
      </c>
      <c r="Z20" s="3" cm="1">
        <f t="array" ref="Z20">SUMPRODUCT(S20:V20,TRANSPOSE($AH$2:$AH$5))</f>
        <v>-8.9100173328918686</v>
      </c>
      <c r="AA20" s="23">
        <f t="shared" si="6"/>
        <v>-2.7846003543952946E-2</v>
      </c>
    </row>
    <row r="21" spans="1:27" x14ac:dyDescent="0.35">
      <c r="A21" s="2">
        <v>46043</v>
      </c>
      <c r="B21" s="3">
        <v>13.749000000000001</v>
      </c>
      <c r="C21" s="3">
        <v>13.105</v>
      </c>
      <c r="D21" s="3">
        <v>13.468999999999999</v>
      </c>
      <c r="E21" s="3">
        <v>13.712999999999999</v>
      </c>
      <c r="F21" s="3">
        <v>5.5130999999999999E-2</v>
      </c>
      <c r="G21" s="3">
        <f>NETWORKDAYS($A21,B$4,Feriados!$A$2:$A$1265)</f>
        <v>236</v>
      </c>
      <c r="H21" s="3">
        <f>NETWORKDAYS($A21,C$4,Feriados!$A$2:$A$1265)</f>
        <v>487</v>
      </c>
      <c r="I21" s="3">
        <f>NETWORKDAYS($A21,D$4,Feriados!$A$2:$A$1265)</f>
        <v>1236</v>
      </c>
      <c r="J21" s="3">
        <f>NETWORKDAYS($A21,E$4,Feriados!$A$2:$A$1265)</f>
        <v>2239</v>
      </c>
      <c r="K21" s="3">
        <f t="shared" si="2"/>
        <v>88634.87578977122</v>
      </c>
      <c r="L21" s="3">
        <f t="shared" si="2"/>
        <v>78821.426666039799</v>
      </c>
      <c r="M21" s="3">
        <f t="shared" si="2"/>
        <v>53807.184189232488</v>
      </c>
      <c r="N21" s="3">
        <f t="shared" si="2"/>
        <v>31925.04638146791</v>
      </c>
      <c r="O21" s="3">
        <f t="shared" si="3"/>
        <v>-7.2974060983846796</v>
      </c>
      <c r="P21" s="3">
        <f t="shared" si="3"/>
        <v>-13.467621667168864</v>
      </c>
      <c r="Q21" s="3">
        <f t="shared" si="3"/>
        <v>-23.258460655672884</v>
      </c>
      <c r="R21" s="3">
        <f t="shared" si="3"/>
        <v>-24.944509718809861</v>
      </c>
      <c r="S21" s="3">
        <f t="shared" si="4"/>
        <v>32.354076540534152</v>
      </c>
      <c r="T21" s="3">
        <f t="shared" si="4"/>
        <v>119.09110268866061</v>
      </c>
      <c r="U21" s="3">
        <f t="shared" si="4"/>
        <v>234.1347858229492</v>
      </c>
      <c r="V21" s="3">
        <f t="shared" si="4"/>
        <v>224.89418235809717</v>
      </c>
      <c r="W21" s="23">
        <f t="shared" si="0"/>
        <v>12.502812166664224</v>
      </c>
      <c r="X21" s="23">
        <f t="shared" si="1"/>
        <v>14.014403751693894</v>
      </c>
      <c r="Y21" s="23">
        <f t="shared" si="5"/>
        <v>-1.5115915850296702</v>
      </c>
      <c r="Z21" s="3" cm="1">
        <f t="array" ref="Z21">SUMPRODUCT(S21:V21,TRANSPOSE($AH$2:$AH$5))</f>
        <v>-19.610296054336246</v>
      </c>
      <c r="AA21" s="23">
        <f t="shared" si="6"/>
        <v>-5.2009879003289683E-2</v>
      </c>
    </row>
    <row r="22" spans="1:27" x14ac:dyDescent="0.35">
      <c r="A22" s="2">
        <v>46044</v>
      </c>
      <c r="B22" s="3">
        <v>13.702999999999999</v>
      </c>
      <c r="C22" s="3">
        <v>13.026999999999999</v>
      </c>
      <c r="D22" s="3">
        <v>13.401999999999999</v>
      </c>
      <c r="E22" s="3">
        <v>13.651</v>
      </c>
      <c r="F22" s="3">
        <v>5.5130999999999999E-2</v>
      </c>
      <c r="G22" s="3">
        <f>NETWORKDAYS($A22,B$4,Feriados!$A$2:$A$1265)</f>
        <v>235</v>
      </c>
      <c r="H22" s="3">
        <f>NETWORKDAYS($A22,C$4,Feriados!$A$2:$A$1265)</f>
        <v>486</v>
      </c>
      <c r="I22" s="3">
        <f>NETWORKDAYS($A22,D$4,Feriados!$A$2:$A$1265)</f>
        <v>1235</v>
      </c>
      <c r="J22" s="3">
        <f>NETWORKDAYS($A22,E$4,Feriados!$A$2:$A$1265)</f>
        <v>2238</v>
      </c>
      <c r="K22" s="3">
        <f t="shared" si="2"/>
        <v>88713.65410856661</v>
      </c>
      <c r="L22" s="3">
        <f t="shared" si="2"/>
        <v>78964.943229530967</v>
      </c>
      <c r="M22" s="3">
        <f t="shared" si="2"/>
        <v>53990.226770812696</v>
      </c>
      <c r="N22" s="3">
        <f t="shared" si="2"/>
        <v>32096.413916687525</v>
      </c>
      <c r="O22" s="3">
        <f t="shared" si="3"/>
        <v>-7.2758856705045529</v>
      </c>
      <c r="P22" s="3">
        <f t="shared" si="3"/>
        <v>-13.473730468935592</v>
      </c>
      <c r="Q22" s="3">
        <f t="shared" si="3"/>
        <v>-23.332477431024873</v>
      </c>
      <c r="R22" s="3">
        <f t="shared" si="3"/>
        <v>-25.080881258716531</v>
      </c>
      <c r="S22" s="3">
        <f t="shared" si="4"/>
        <v>29.913025423724321</v>
      </c>
      <c r="T22" s="3">
        <f t="shared" si="4"/>
        <v>100.06152275590284</v>
      </c>
      <c r="U22" s="3">
        <f t="shared" si="4"/>
        <v>153.37814286483626</v>
      </c>
      <c r="V22" s="3">
        <f t="shared" si="4"/>
        <v>153.76693789904675</v>
      </c>
      <c r="W22" s="23">
        <f t="shared" si="0"/>
        <v>12.397735002043175</v>
      </c>
      <c r="X22" s="23">
        <f t="shared" si="1"/>
        <v>13.958346398903455</v>
      </c>
      <c r="Y22" s="23">
        <f t="shared" si="5"/>
        <v>-1.5606113968602795</v>
      </c>
      <c r="Z22" s="3" cm="1">
        <f t="array" ref="Z22">SUMPRODUCT(S22:V22,TRANSPOSE($AH$2:$AH$5))</f>
        <v>-18.115421100516549</v>
      </c>
      <c r="AA22" s="23">
        <f t="shared" si="6"/>
        <v>-4.9019811830609328E-2</v>
      </c>
    </row>
    <row r="23" spans="1:27" x14ac:dyDescent="0.35">
      <c r="A23" s="2">
        <v>46045</v>
      </c>
      <c r="B23" s="3">
        <v>13.701000000000001</v>
      </c>
      <c r="C23" s="3">
        <v>13.007</v>
      </c>
      <c r="D23" s="3">
        <v>13.356999999999999</v>
      </c>
      <c r="E23" s="3">
        <v>13.590999999999999</v>
      </c>
      <c r="F23" s="3">
        <v>5.5130999999999999E-2</v>
      </c>
      <c r="G23" s="3">
        <f>NETWORKDAYS($A23,B$4,Feriados!$A$2:$A$1265)</f>
        <v>234</v>
      </c>
      <c r="H23" s="3">
        <f>NETWORKDAYS($A23,C$4,Feriados!$A$2:$A$1265)</f>
        <v>485</v>
      </c>
      <c r="I23" s="3">
        <f>NETWORKDAYS($A23,D$4,Feriados!$A$2:$A$1265)</f>
        <v>1234</v>
      </c>
      <c r="J23" s="3">
        <f>NETWORKDAYS($A23,E$4,Feriados!$A$2:$A$1265)</f>
        <v>2237</v>
      </c>
      <c r="K23" s="3">
        <f t="shared" si="2"/>
        <v>88760.323996613486</v>
      </c>
      <c r="L23" s="3">
        <f t="shared" si="2"/>
        <v>79030.236720867775</v>
      </c>
      <c r="M23" s="3">
        <f t="shared" si="2"/>
        <v>54122.265505923591</v>
      </c>
      <c r="N23" s="3">
        <f t="shared" si="2"/>
        <v>32263.60374236196</v>
      </c>
      <c r="O23" s="3">
        <f t="shared" si="3"/>
        <v>-7.2488633216944658</v>
      </c>
      <c r="P23" s="3">
        <f t="shared" si="3"/>
        <v>-13.45950644496558</v>
      </c>
      <c r="Q23" s="3">
        <f t="shared" si="3"/>
        <v>-23.379878107495241</v>
      </c>
      <c r="R23" s="3">
        <f t="shared" si="3"/>
        <v>-25.213573108807282</v>
      </c>
      <c r="S23" s="3">
        <f t="shared" si="4"/>
        <v>-2.2388365997321671</v>
      </c>
      <c r="T23" s="3">
        <f t="shared" si="4"/>
        <v>21.759328484928119</v>
      </c>
      <c r="U23" s="3">
        <f t="shared" si="4"/>
        <v>102.27338318987313</v>
      </c>
      <c r="V23" s="3">
        <f t="shared" si="4"/>
        <v>149.4947517180226</v>
      </c>
      <c r="W23" s="23">
        <f t="shared" si="0"/>
        <v>12.363819864455582</v>
      </c>
      <c r="X23" s="23">
        <f t="shared" si="1"/>
        <v>13.879555151944366</v>
      </c>
      <c r="Y23" s="23">
        <f t="shared" si="5"/>
        <v>-1.5157352874887842</v>
      </c>
      <c r="Z23" s="3" cm="1">
        <f t="array" ref="Z23">SUMPRODUCT(S23:V23,TRANSPOSE($AH$2:$AH$5))</f>
        <v>15.774480097751479</v>
      </c>
      <c r="AA23" s="23">
        <f t="shared" si="6"/>
        <v>4.4876109371495332E-2</v>
      </c>
    </row>
    <row r="24" spans="1:27" x14ac:dyDescent="0.35">
      <c r="A24" s="2">
        <v>46048</v>
      </c>
      <c r="B24" s="3">
        <v>13.683999999999999</v>
      </c>
      <c r="C24" s="3">
        <v>12.977</v>
      </c>
      <c r="D24" s="3">
        <v>13.305999999999999</v>
      </c>
      <c r="E24" s="3">
        <v>13.542</v>
      </c>
      <c r="F24" s="3">
        <v>5.5130999999999999E-2</v>
      </c>
      <c r="G24" s="3">
        <f>NETWORKDAYS($A24,B$4,Feriados!$A$2:$A$1265)</f>
        <v>233</v>
      </c>
      <c r="H24" s="3">
        <f>NETWORKDAYS($A24,C$4,Feriados!$A$2:$A$1265)</f>
        <v>484</v>
      </c>
      <c r="I24" s="3">
        <f>NETWORKDAYS($A24,D$4,Feriados!$A$2:$A$1265)</f>
        <v>1233</v>
      </c>
      <c r="J24" s="3">
        <f>NETWORKDAYS($A24,E$4,Feriados!$A$2:$A$1265)</f>
        <v>2236</v>
      </c>
      <c r="K24" s="3">
        <f t="shared" si="2"/>
        <v>88817.840152306773</v>
      </c>
      <c r="L24" s="3">
        <f t="shared" si="2"/>
        <v>79108.924831914759</v>
      </c>
      <c r="M24" s="3">
        <f t="shared" si="2"/>
        <v>54268.556666576093</v>
      </c>
      <c r="N24" s="3">
        <f t="shared" si="2"/>
        <v>32403.74053715526</v>
      </c>
      <c r="O24" s="3">
        <f t="shared" si="3"/>
        <v>-7.2236424621072581</v>
      </c>
      <c r="P24" s="3">
        <f t="shared" si="3"/>
        <v>-13.448698723285139</v>
      </c>
      <c r="Q24" s="3">
        <f t="shared" si="3"/>
        <v>-23.434619095070385</v>
      </c>
      <c r="R24" s="3">
        <f t="shared" si="3"/>
        <v>-25.322691526595143</v>
      </c>
      <c r="S24" s="3">
        <f t="shared" ref="S24:V39" si="7">K24-K23*(1+$F23/100)</f>
        <v>8.5817014707135968</v>
      </c>
      <c r="T24" s="3">
        <f t="shared" si="7"/>
        <v>35.117951240390539</v>
      </c>
      <c r="U24" s="3">
        <f t="shared" si="7"/>
        <v>116.4530144564269</v>
      </c>
      <c r="V24" s="3">
        <f t="shared" si="7"/>
        <v>122.34954741409456</v>
      </c>
      <c r="W24" s="23">
        <f t="shared" si="0"/>
        <v>12.324636949635593</v>
      </c>
      <c r="X24" s="23">
        <f t="shared" si="1"/>
        <v>13.832791310876091</v>
      </c>
      <c r="Y24" s="23">
        <f t="shared" si="5"/>
        <v>-1.5081543612404982</v>
      </c>
      <c r="Z24" s="3" cm="1">
        <f t="array" ref="Z24">SUMPRODUCT(S24:V24,TRANSPOSE($AH$2:$AH$5))</f>
        <v>2.5089672119740456</v>
      </c>
      <c r="AA24" s="23">
        <f t="shared" si="6"/>
        <v>7.5809262482859907E-3</v>
      </c>
    </row>
    <row r="25" spans="1:27" x14ac:dyDescent="0.35">
      <c r="A25" s="2">
        <v>46049</v>
      </c>
      <c r="B25" s="3">
        <v>13.582000000000001</v>
      </c>
      <c r="C25" s="3">
        <v>12.866</v>
      </c>
      <c r="D25" s="3">
        <v>13.148999999999999</v>
      </c>
      <c r="E25" s="3">
        <v>13.369</v>
      </c>
      <c r="F25" s="3">
        <v>5.5130999999999999E-2</v>
      </c>
      <c r="G25" s="3">
        <f>NETWORKDAYS($A25,B$4,Feriados!$A$2:$A$1265)</f>
        <v>232</v>
      </c>
      <c r="H25" s="3">
        <f>NETWORKDAYS($A25,C$4,Feriados!$A$2:$A$1265)</f>
        <v>483</v>
      </c>
      <c r="I25" s="3">
        <f>NETWORKDAYS($A25,D$4,Feriados!$A$2:$A$1265)</f>
        <v>1232</v>
      </c>
      <c r="J25" s="3">
        <f>NETWORKDAYS($A25,E$4,Feriados!$A$2:$A$1265)</f>
        <v>2235</v>
      </c>
      <c r="K25" s="3">
        <f t="shared" si="2"/>
        <v>88936.520041724434</v>
      </c>
      <c r="L25" s="3">
        <f t="shared" si="2"/>
        <v>79296.495388158466</v>
      </c>
      <c r="M25" s="3">
        <f t="shared" si="2"/>
        <v>54664.778266749192</v>
      </c>
      <c r="N25" s="3">
        <f t="shared" si="2"/>
        <v>32861.495033089159</v>
      </c>
      <c r="O25" s="3">
        <f t="shared" si="3"/>
        <v>-7.2087184650876894</v>
      </c>
      <c r="P25" s="3">
        <f t="shared" si="3"/>
        <v>-13.465964018745272</v>
      </c>
      <c r="Q25" s="3">
        <f t="shared" si="3"/>
        <v>-23.619300840651263</v>
      </c>
      <c r="R25" s="3">
        <f t="shared" si="3"/>
        <v>-25.708100475576614</v>
      </c>
      <c r="S25" s="3">
        <f t="shared" si="7"/>
        <v>69.713725963287288</v>
      </c>
      <c r="T25" s="3">
        <f t="shared" si="7"/>
        <v>143.95701489462226</v>
      </c>
      <c r="U25" s="3">
        <f t="shared" si="7"/>
        <v>366.30280219724227</v>
      </c>
      <c r="V25" s="3">
        <f t="shared" si="7"/>
        <v>439.88998973835623</v>
      </c>
      <c r="W25" s="23">
        <f t="shared" si="0"/>
        <v>12.208213813546799</v>
      </c>
      <c r="X25" s="23">
        <f t="shared" si="1"/>
        <v>13.639814796359563</v>
      </c>
      <c r="Y25" s="23">
        <f t="shared" si="5"/>
        <v>-1.431600982812764</v>
      </c>
      <c r="Z25" s="3" cm="1">
        <f t="array" ref="Z25">SUMPRODUCT(S25:V25,TRANSPOSE($AH$2:$AH$5))</f>
        <v>27.688665002269701</v>
      </c>
      <c r="AA25" s="23">
        <f t="shared" si="6"/>
        <v>7.6553378427734131E-2</v>
      </c>
    </row>
    <row r="26" spans="1:27" x14ac:dyDescent="0.35">
      <c r="A26" s="2">
        <v>46050</v>
      </c>
      <c r="B26" s="3">
        <v>13.526</v>
      </c>
      <c r="C26" s="3">
        <v>12.787000000000001</v>
      </c>
      <c r="D26" s="3">
        <v>13.102</v>
      </c>
      <c r="E26" s="3">
        <v>13.337999999999999</v>
      </c>
      <c r="F26" s="3">
        <v>5.5130999999999999E-2</v>
      </c>
      <c r="G26" s="3">
        <f>NETWORKDAYS($A26,B$4,Feriados!$A$2:$A$1265)</f>
        <v>231</v>
      </c>
      <c r="H26" s="3">
        <f>NETWORKDAYS($A26,C$4,Feriados!$A$2:$A$1265)</f>
        <v>482</v>
      </c>
      <c r="I26" s="3">
        <f>NETWORKDAYS($A26,D$4,Feriados!$A$2:$A$1265)</f>
        <v>1231</v>
      </c>
      <c r="J26" s="3">
        <f>NETWORKDAYS($A26,E$4,Feriados!$A$2:$A$1265)</f>
        <v>2234</v>
      </c>
      <c r="K26" s="3">
        <f t="shared" si="2"/>
        <v>89021.711969867276</v>
      </c>
      <c r="L26" s="3">
        <f t="shared" si="2"/>
        <v>79440.909454300272</v>
      </c>
      <c r="M26" s="3">
        <f t="shared" si="2"/>
        <v>54802.693348432011</v>
      </c>
      <c r="N26" s="3">
        <f t="shared" si="2"/>
        <v>32957.668489173266</v>
      </c>
      <c r="O26" s="3">
        <f t="shared" si="3"/>
        <v>-7.1880658150889083</v>
      </c>
      <c r="P26" s="3">
        <f t="shared" si="3"/>
        <v>-13.471987145376549</v>
      </c>
      <c r="Q26" s="3">
        <f t="shared" si="3"/>
        <v>-23.669502536381618</v>
      </c>
      <c r="R26" s="3">
        <f t="shared" si="3"/>
        <v>-25.778851474747771</v>
      </c>
      <c r="S26" s="3">
        <f t="shared" si="7"/>
        <v>36.160335278633283</v>
      </c>
      <c r="T26" s="3">
        <f t="shared" si="7"/>
        <v>100.69711526935862</v>
      </c>
      <c r="U26" s="3">
        <f t="shared" si="7"/>
        <v>107.77784277657338</v>
      </c>
      <c r="V26" s="3">
        <f t="shared" si="7"/>
        <v>78.056585257414554</v>
      </c>
      <c r="W26" s="23">
        <f t="shared" si="0"/>
        <v>12.111136041938009</v>
      </c>
      <c r="X26" s="23">
        <f t="shared" si="1"/>
        <v>13.62832023961249</v>
      </c>
      <c r="Y26" s="23">
        <f t="shared" si="5"/>
        <v>-1.5171841976744815</v>
      </c>
      <c r="Z26" s="3" cm="1">
        <f t="array" ref="Z26">SUMPRODUCT(S26:V26,TRANSPOSE($AH$2:$AH$5))</f>
        <v>-30.931306180030955</v>
      </c>
      <c r="AA26" s="23">
        <f t="shared" si="6"/>
        <v>-8.5583214861717494E-2</v>
      </c>
    </row>
    <row r="27" spans="1:27" x14ac:dyDescent="0.35">
      <c r="A27" s="2">
        <v>46051</v>
      </c>
      <c r="B27" s="3">
        <v>13.478999999999999</v>
      </c>
      <c r="C27" s="3">
        <v>12.685</v>
      </c>
      <c r="D27" s="3">
        <v>13.045</v>
      </c>
      <c r="E27" s="3">
        <v>13.304</v>
      </c>
      <c r="F27" s="3">
        <v>5.5130999999999999E-2</v>
      </c>
      <c r="G27" s="3">
        <f>NETWORKDAYS($A27,B$4,Feriados!$A$2:$A$1265)</f>
        <v>230</v>
      </c>
      <c r="H27" s="3">
        <f>NETWORKDAYS($A27,C$4,Feriados!$A$2:$A$1265)</f>
        <v>481</v>
      </c>
      <c r="I27" s="3">
        <f>NETWORKDAYS($A27,D$4,Feriados!$A$2:$A$1265)</f>
        <v>1230</v>
      </c>
      <c r="J27" s="3">
        <f>NETWORKDAYS($A27,E$4,Feriados!$A$2:$A$1265)</f>
        <v>2233</v>
      </c>
      <c r="K27" s="3">
        <f t="shared" si="2"/>
        <v>89100.206439832764</v>
      </c>
      <c r="L27" s="3">
        <f t="shared" si="2"/>
        <v>79616.22716290057</v>
      </c>
      <c r="M27" s="3">
        <f t="shared" si="2"/>
        <v>54964.547438985326</v>
      </c>
      <c r="N27" s="3">
        <f t="shared" si="2"/>
        <v>33061.829517250895</v>
      </c>
      <c r="O27" s="3">
        <f t="shared" si="3"/>
        <v>-7.1662260848911483</v>
      </c>
      <c r="P27" s="3">
        <f t="shared" si="3"/>
        <v>-13.485902641002758</v>
      </c>
      <c r="Q27" s="3">
        <f t="shared" si="3"/>
        <v>-23.732083567631083</v>
      </c>
      <c r="R27" s="3">
        <f t="shared" si="3"/>
        <v>-25.856505056218065</v>
      </c>
      <c r="S27" s="3">
        <f t="shared" si="7"/>
        <v>29.415909939372796</v>
      </c>
      <c r="T27" s="3">
        <f t="shared" si="7"/>
        <v>131.52114080903993</v>
      </c>
      <c r="U27" s="3">
        <f t="shared" si="7"/>
        <v>131.64081768338656</v>
      </c>
      <c r="V27" s="3">
        <f t="shared" si="7"/>
        <v>85.991135862859664</v>
      </c>
      <c r="W27" s="23">
        <f t="shared" si="0"/>
        <v>11.962308998688354</v>
      </c>
      <c r="X27" s="23">
        <f t="shared" si="1"/>
        <v>13.622427335363163</v>
      </c>
      <c r="Y27" s="23">
        <f t="shared" si="5"/>
        <v>-1.6601183366748096</v>
      </c>
      <c r="Z27" s="3" cm="1">
        <f t="array" ref="Z27">SUMPRODUCT(S27:V27,TRANSPOSE($AH$2:$AH$5))</f>
        <v>-51.829182465495087</v>
      </c>
      <c r="AA27" s="23">
        <f t="shared" si="6"/>
        <v>-0.14293413900032803</v>
      </c>
    </row>
    <row r="28" spans="1:27" x14ac:dyDescent="0.35">
      <c r="A28" s="2">
        <v>46052</v>
      </c>
      <c r="B28" s="3">
        <v>13.474</v>
      </c>
      <c r="C28" s="3">
        <v>12.696999999999999</v>
      </c>
      <c r="D28" s="3">
        <v>13.042999999999999</v>
      </c>
      <c r="E28" s="3">
        <v>13.305</v>
      </c>
      <c r="F28" s="3">
        <v>5.5130999999999999E-2</v>
      </c>
      <c r="G28" s="3">
        <f>NETWORKDAYS($A28,B$4,Feriados!$A$2:$A$1265)</f>
        <v>229</v>
      </c>
      <c r="H28" s="3">
        <f>NETWORKDAYS($A28,C$4,Feriados!$A$2:$A$1265)</f>
        <v>480</v>
      </c>
      <c r="I28" s="3">
        <f>NETWORKDAYS($A28,D$4,Feriados!$A$2:$A$1265)</f>
        <v>1229</v>
      </c>
      <c r="J28" s="3">
        <f>NETWORKDAYS($A28,E$4,Feriados!$A$2:$A$1265)</f>
        <v>2232</v>
      </c>
      <c r="K28" s="3">
        <f t="shared" si="2"/>
        <v>89148.495499773795</v>
      </c>
      <c r="L28" s="3">
        <f t="shared" si="2"/>
        <v>79637.812691786268</v>
      </c>
      <c r="M28" s="3">
        <f t="shared" si="2"/>
        <v>54996.043190324526</v>
      </c>
      <c r="N28" s="3">
        <f t="shared" si="2"/>
        <v>33075.635077206956</v>
      </c>
      <c r="O28" s="3">
        <f t="shared" si="3"/>
        <v>-7.1392500895415925</v>
      </c>
      <c r="P28" s="3">
        <f t="shared" si="3"/>
        <v>-13.460080729201186</v>
      </c>
      <c r="Q28" s="3">
        <f t="shared" si="3"/>
        <v>-23.726796854838089</v>
      </c>
      <c r="R28" s="3">
        <f t="shared" si="3"/>
        <v>-25.855489605008373</v>
      </c>
      <c r="S28" s="3">
        <f t="shared" si="7"/>
        <v>-0.83277487131999806</v>
      </c>
      <c r="T28" s="3">
        <f t="shared" si="7"/>
        <v>-22.307693311493495</v>
      </c>
      <c r="U28" s="3">
        <f t="shared" si="7"/>
        <v>1.1932466906073387</v>
      </c>
      <c r="V28" s="3">
        <f t="shared" si="7"/>
        <v>-4.42175727510039</v>
      </c>
      <c r="W28" s="23">
        <f t="shared" si="0"/>
        <v>11.992745872711597</v>
      </c>
      <c r="X28" s="23">
        <f t="shared" si="1"/>
        <v>13.626862930287164</v>
      </c>
      <c r="Y28" s="23">
        <f t="shared" si="5"/>
        <v>-1.6341170575755672</v>
      </c>
      <c r="Z28" s="3" cm="1">
        <f t="array" ref="Z28">SUMPRODUCT(S28:V28,TRANSPOSE($AH$2:$AH$5))</f>
        <v>9.4041190424441616</v>
      </c>
      <c r="AA28" s="23">
        <f t="shared" si="6"/>
        <v>2.6001279099242325E-2</v>
      </c>
    </row>
    <row r="29" spans="1:27" x14ac:dyDescent="0.35">
      <c r="A29" s="2">
        <v>46055</v>
      </c>
      <c r="B29" s="3">
        <v>13.457000000000001</v>
      </c>
      <c r="C29" s="3">
        <v>12.718</v>
      </c>
      <c r="D29" s="3">
        <v>13.146000000000001</v>
      </c>
      <c r="E29" s="3">
        <v>13.417</v>
      </c>
      <c r="F29" s="3">
        <v>5.5130999999999999E-2</v>
      </c>
      <c r="G29" s="3">
        <f>NETWORKDAYS($A29,B$4,Feriados!$A$2:$A$1265)</f>
        <v>228</v>
      </c>
      <c r="H29" s="3">
        <f>NETWORKDAYS($A29,C$4,Feriados!$A$2:$A$1265)</f>
        <v>479</v>
      </c>
      <c r="I29" s="3">
        <f>NETWORKDAYS($A29,D$4,Feriados!$A$2:$A$1265)</f>
        <v>1228</v>
      </c>
      <c r="J29" s="3">
        <f>NETWORKDAYS($A29,E$4,Feriados!$A$2:$A$1265)</f>
        <v>2231</v>
      </c>
      <c r="K29" s="3">
        <f t="shared" si="2"/>
        <v>89205.315240104799</v>
      </c>
      <c r="L29" s="3">
        <f t="shared" si="2"/>
        <v>79647.383676561833</v>
      </c>
      <c r="M29" s="3">
        <f t="shared" si="2"/>
        <v>54779.151618802949</v>
      </c>
      <c r="N29" s="3">
        <f t="shared" si="2"/>
        <v>32803.844301697762</v>
      </c>
      <c r="O29" s="3">
        <f t="shared" si="3"/>
        <v>-7.1136704594272171</v>
      </c>
      <c r="P29" s="3">
        <f t="shared" si="3"/>
        <v>-13.43115041029246</v>
      </c>
      <c r="Q29" s="3">
        <f t="shared" si="3"/>
        <v>-23.592497777099492</v>
      </c>
      <c r="R29" s="3">
        <f t="shared" si="3"/>
        <v>-25.6062284541369</v>
      </c>
      <c r="S29" s="3">
        <f t="shared" si="7"/>
        <v>7.6712832770135719</v>
      </c>
      <c r="T29" s="3">
        <f t="shared" si="7"/>
        <v>-34.334137739555445</v>
      </c>
      <c r="U29" s="3">
        <f t="shared" si="7"/>
        <v>-247.21144009284035</v>
      </c>
      <c r="V29" s="3">
        <f t="shared" si="7"/>
        <v>-290.02570388361346</v>
      </c>
      <c r="W29" s="23">
        <f t="shared" si="0"/>
        <v>12.050890022577088</v>
      </c>
      <c r="X29" s="23">
        <f t="shared" si="1"/>
        <v>13.749676603662063</v>
      </c>
      <c r="Y29" s="23">
        <f t="shared" si="5"/>
        <v>-1.6987865810849758</v>
      </c>
      <c r="Z29" s="3" cm="1">
        <f t="array" ref="Z29">SUMPRODUCT(S29:V29,TRANSPOSE($AH$2:$AH$5))</f>
        <v>-23.765738363713638</v>
      </c>
      <c r="AA29" s="23">
        <f t="shared" si="6"/>
        <v>-6.4669523509408577E-2</v>
      </c>
    </row>
    <row r="30" spans="1:27" x14ac:dyDescent="0.35">
      <c r="A30" s="2">
        <v>46056</v>
      </c>
      <c r="B30" s="3">
        <v>13.423999999999999</v>
      </c>
      <c r="C30" s="3">
        <v>12.653</v>
      </c>
      <c r="D30" s="3">
        <v>13.08</v>
      </c>
      <c r="E30" s="3">
        <v>13.358000000000001</v>
      </c>
      <c r="F30" s="3">
        <v>5.5130999999999999E-2</v>
      </c>
      <c r="G30" s="3">
        <f>NETWORKDAYS($A30,B$4,Feriados!$A$2:$A$1265)</f>
        <v>227</v>
      </c>
      <c r="H30" s="3">
        <f>NETWORKDAYS($A30,C$4,Feriados!$A$2:$A$1265)</f>
        <v>478</v>
      </c>
      <c r="I30" s="3">
        <f>NETWORKDAYS($A30,D$4,Feriados!$A$2:$A$1265)</f>
        <v>1227</v>
      </c>
      <c r="J30" s="3">
        <f>NETWORKDAYS($A30,E$4,Feriados!$A$2:$A$1265)</f>
        <v>2230</v>
      </c>
      <c r="K30" s="3">
        <f t="shared" si="2"/>
        <v>89273.409240885114</v>
      </c>
      <c r="L30" s="3">
        <f t="shared" si="2"/>
        <v>79772.465630882027</v>
      </c>
      <c r="M30" s="3">
        <f t="shared" si="2"/>
        <v>54961.933017601841</v>
      </c>
      <c r="N30" s="3">
        <f t="shared" si="2"/>
        <v>32971.709717477592</v>
      </c>
      <c r="O30" s="3">
        <f t="shared" si="3"/>
        <v>-7.0899386575056909</v>
      </c>
      <c r="P30" s="3">
        <f t="shared" si="3"/>
        <v>-13.431904944922737</v>
      </c>
      <c r="Q30" s="3">
        <f t="shared" si="3"/>
        <v>-23.665747178776876</v>
      </c>
      <c r="R30" s="3">
        <f t="shared" si="3"/>
        <v>-25.739115278682707</v>
      </c>
      <c r="S30" s="3">
        <f t="shared" si="7"/>
        <v>18.914218435282237</v>
      </c>
      <c r="T30" s="3">
        <f t="shared" si="7"/>
        <v>81.171555225460907</v>
      </c>
      <c r="U30" s="3">
        <f t="shared" si="7"/>
        <v>152.58110471992404</v>
      </c>
      <c r="V30" s="3">
        <f t="shared" si="7"/>
        <v>149.78032837785577</v>
      </c>
      <c r="W30" s="23">
        <f t="shared" si="0"/>
        <v>11.960235248731067</v>
      </c>
      <c r="X30" s="23">
        <f t="shared" si="1"/>
        <v>13.699015352784794</v>
      </c>
      <c r="Y30" s="23">
        <f t="shared" si="5"/>
        <v>-1.7387801040537276</v>
      </c>
      <c r="Z30" s="3" cm="1">
        <f t="array" ref="Z30">SUMPRODUCT(S30:V30,TRANSPOSE($AH$2:$AH$5))</f>
        <v>-14.566030182580846</v>
      </c>
      <c r="AA30" s="23">
        <f t="shared" si="6"/>
        <v>-3.9993522968751805E-2</v>
      </c>
    </row>
    <row r="31" spans="1:27" x14ac:dyDescent="0.35">
      <c r="A31" s="2">
        <v>46057</v>
      </c>
      <c r="B31" s="3">
        <v>13.412000000000001</v>
      </c>
      <c r="C31" s="3">
        <v>12.702</v>
      </c>
      <c r="D31" s="3">
        <v>13.157</v>
      </c>
      <c r="E31" s="3">
        <v>13.438000000000001</v>
      </c>
      <c r="F31" s="3">
        <v>5.5130999999999999E-2</v>
      </c>
      <c r="G31" s="3">
        <f>NETWORKDAYS($A31,B$4,Feriados!$A$2:$A$1265)</f>
        <v>226</v>
      </c>
      <c r="H31" s="3">
        <f>NETWORKDAYS($A31,C$4,Feriados!$A$2:$A$1265)</f>
        <v>477</v>
      </c>
      <c r="I31" s="3">
        <f>NETWORKDAYS($A31,D$4,Feriados!$A$2:$A$1265)</f>
        <v>1226</v>
      </c>
      <c r="J31" s="3">
        <f>NETWORKDAYS($A31,E$4,Feriados!$A$2:$A$1265)</f>
        <v>2229</v>
      </c>
      <c r="K31" s="3">
        <f t="shared" si="2"/>
        <v>89326.519461697084</v>
      </c>
      <c r="L31" s="3">
        <f t="shared" si="2"/>
        <v>79744.521480547046</v>
      </c>
      <c r="M31" s="3">
        <f t="shared" si="2"/>
        <v>54806.946550885434</v>
      </c>
      <c r="N31" s="3">
        <f t="shared" si="2"/>
        <v>32782.909181037707</v>
      </c>
      <c r="O31" s="3">
        <f t="shared" si="3"/>
        <v>-7.0636521058854456</v>
      </c>
      <c r="P31" s="3">
        <f t="shared" si="3"/>
        <v>-13.393283800480768</v>
      </c>
      <c r="Q31" s="3">
        <f t="shared" si="3"/>
        <v>-23.563733991509174</v>
      </c>
      <c r="R31" s="3">
        <f t="shared" si="3"/>
        <v>-25.562213469987608</v>
      </c>
      <c r="S31" s="3">
        <f t="shared" si="7"/>
        <v>3.8928975633752998</v>
      </c>
      <c r="T31" s="3">
        <f t="shared" si="7"/>
        <v>-71.923508361942368</v>
      </c>
      <c r="U31" s="3">
        <f t="shared" si="7"/>
        <v>-185.28753000834695</v>
      </c>
      <c r="V31" s="3">
        <f t="shared" si="7"/>
        <v>-206.97816972422879</v>
      </c>
      <c r="W31" s="23">
        <f t="shared" si="0"/>
        <v>12.066520754616029</v>
      </c>
      <c r="X31" s="23">
        <f t="shared" si="1"/>
        <v>13.782423510929597</v>
      </c>
      <c r="Y31" s="23">
        <f t="shared" si="5"/>
        <v>-1.715902756313568</v>
      </c>
      <c r="Z31" s="3" cm="1">
        <f t="array" ref="Z31">SUMPRODUCT(S31:V31,TRANSPOSE($AH$2:$AH$5))</f>
        <v>8.2912529163353952</v>
      </c>
      <c r="AA31" s="23">
        <f t="shared" si="6"/>
        <v>2.2877347740159593E-2</v>
      </c>
    </row>
    <row r="32" spans="1:27" x14ac:dyDescent="0.35">
      <c r="A32" s="2">
        <v>46058</v>
      </c>
      <c r="B32" s="3">
        <v>13.385999999999999</v>
      </c>
      <c r="C32" s="3">
        <v>12.675000000000001</v>
      </c>
      <c r="D32" s="3">
        <v>13.148999999999999</v>
      </c>
      <c r="E32" s="3">
        <v>13.442</v>
      </c>
      <c r="F32" s="3">
        <v>5.5130999999999999E-2</v>
      </c>
      <c r="G32" s="3">
        <f>NETWORKDAYS($A32,B$4,Feriados!$A$2:$A$1265)</f>
        <v>225</v>
      </c>
      <c r="H32" s="3">
        <f>NETWORKDAYS($A32,C$4,Feriados!$A$2:$A$1265)</f>
        <v>476</v>
      </c>
      <c r="I32" s="3">
        <f>NETWORKDAYS($A32,D$4,Feriados!$A$2:$A$1265)</f>
        <v>1225</v>
      </c>
      <c r="J32" s="3">
        <f>NETWORKDAYS($A32,E$4,Feriados!$A$2:$A$1265)</f>
        <v>2228</v>
      </c>
      <c r="K32" s="3">
        <f t="shared" si="2"/>
        <v>89389.440517794734</v>
      </c>
      <c r="L32" s="3">
        <f t="shared" si="2"/>
        <v>79818.485858237458</v>
      </c>
      <c r="M32" s="3">
        <f t="shared" si="2"/>
        <v>54852.684720233723</v>
      </c>
      <c r="N32" s="3">
        <f t="shared" si="2"/>
        <v>32789.09232050195</v>
      </c>
      <c r="O32" s="3">
        <f t="shared" si="3"/>
        <v>-7.0389642868005522</v>
      </c>
      <c r="P32" s="3">
        <f t="shared" si="3"/>
        <v>-13.38080772714086</v>
      </c>
      <c r="Q32" s="3">
        <f t="shared" si="3"/>
        <v>-23.565828700899061</v>
      </c>
      <c r="R32" s="3">
        <f t="shared" si="3"/>
        <v>-25.554663445273043</v>
      </c>
      <c r="S32" s="3">
        <f t="shared" si="7"/>
        <v>13.674452653212938</v>
      </c>
      <c r="T32" s="3">
        <f t="shared" si="7"/>
        <v>30.000425552963861</v>
      </c>
      <c r="U32" s="3">
        <f t="shared" si="7"/>
        <v>15.522551645313797</v>
      </c>
      <c r="V32" s="3">
        <f t="shared" si="7"/>
        <v>-11.890406196354888</v>
      </c>
      <c r="W32" s="23">
        <f t="shared" si="0"/>
        <v>12.041439810593847</v>
      </c>
      <c r="X32" s="23">
        <f t="shared" si="1"/>
        <v>13.800880852045317</v>
      </c>
      <c r="Y32" s="23">
        <f t="shared" si="5"/>
        <v>-1.7594410414514705</v>
      </c>
      <c r="Z32" s="3" cm="1">
        <f t="array" ref="Z32">SUMPRODUCT(S32:V32,TRANSPOSE($AH$2:$AH$5))</f>
        <v>-15.891308200865673</v>
      </c>
      <c r="AA32" s="23">
        <f t="shared" si="6"/>
        <v>-4.3538285137902477E-2</v>
      </c>
    </row>
    <row r="33" spans="1:27" x14ac:dyDescent="0.35">
      <c r="A33" s="2">
        <v>46059</v>
      </c>
      <c r="B33" s="3">
        <v>13.361000000000001</v>
      </c>
      <c r="C33" s="3">
        <v>12.67</v>
      </c>
      <c r="D33" s="3">
        <v>13.192</v>
      </c>
      <c r="E33" s="3">
        <v>13.507</v>
      </c>
      <c r="F33" s="3">
        <v>5.5130999999999999E-2</v>
      </c>
      <c r="G33" s="3">
        <f>NETWORKDAYS($A33,B$4,Feriados!$A$2:$A$1265)</f>
        <v>224</v>
      </c>
      <c r="H33" s="3">
        <f>NETWORKDAYS($A33,C$4,Feriados!$A$2:$A$1265)</f>
        <v>475</v>
      </c>
      <c r="I33" s="3">
        <f>NETWORKDAYS($A33,D$4,Feriados!$A$2:$A$1265)</f>
        <v>1224</v>
      </c>
      <c r="J33" s="3">
        <f>NETWORKDAYS($A33,E$4,Feriados!$A$2:$A$1265)</f>
        <v>2227</v>
      </c>
      <c r="K33" s="3">
        <f t="shared" si="2"/>
        <v>89451.545886535197</v>
      </c>
      <c r="L33" s="3">
        <f t="shared" si="2"/>
        <v>79862.973673414061</v>
      </c>
      <c r="M33" s="3">
        <f t="shared" si="2"/>
        <v>54778.393829208253</v>
      </c>
      <c r="N33" s="3">
        <f t="shared" si="2"/>
        <v>32639.8600982436</v>
      </c>
      <c r="O33" s="3">
        <f t="shared" si="3"/>
        <v>-7.0140952560824026</v>
      </c>
      <c r="P33" s="3">
        <f t="shared" si="3"/>
        <v>-13.360731964421902</v>
      </c>
      <c r="Q33" s="3">
        <f t="shared" si="3"/>
        <v>-23.505767573087958</v>
      </c>
      <c r="R33" s="3">
        <f t="shared" si="3"/>
        <v>-25.412378748051651</v>
      </c>
      <c r="S33" s="3">
        <f t="shared" si="7"/>
        <v>12.824076288598008</v>
      </c>
      <c r="T33" s="3">
        <f t="shared" si="7"/>
        <v>0.48308573808753863</v>
      </c>
      <c r="U33" s="3">
        <f t="shared" si="7"/>
        <v>-104.53172463858937</v>
      </c>
      <c r="V33" s="3">
        <f t="shared" si="7"/>
        <v>-167.30917674556622</v>
      </c>
      <c r="W33" s="23">
        <f t="shared" si="0"/>
        <v>12.056888232823869</v>
      </c>
      <c r="X33" s="23">
        <f t="shared" si="1"/>
        <v>13.892594635827326</v>
      </c>
      <c r="Y33" s="23">
        <f t="shared" si="5"/>
        <v>-1.8357064030034564</v>
      </c>
      <c r="Z33" s="3" cm="1">
        <f t="array" ref="Z33">SUMPRODUCT(S33:V33,TRANSPOSE($AH$2:$AH$5))</f>
        <v>-27.575014361062326</v>
      </c>
      <c r="AA33" s="23">
        <f t="shared" si="6"/>
        <v>-7.6265361551985933E-2</v>
      </c>
    </row>
    <row r="34" spans="1:27" x14ac:dyDescent="0.35">
      <c r="A34" s="2">
        <v>46062</v>
      </c>
      <c r="B34" s="3">
        <v>13.356999999999999</v>
      </c>
      <c r="C34" s="3">
        <v>12.64</v>
      </c>
      <c r="D34" s="3">
        <v>13.106999999999999</v>
      </c>
      <c r="E34" s="3">
        <v>13.436</v>
      </c>
      <c r="F34" s="3">
        <v>5.5130999999999999E-2</v>
      </c>
      <c r="G34" s="3">
        <f>NETWORKDAYS($A34,B$4,Feriados!$A$2:$A$1265)</f>
        <v>223</v>
      </c>
      <c r="H34" s="3">
        <f>NETWORKDAYS($A34,C$4,Feriados!$A$2:$A$1265)</f>
        <v>474</v>
      </c>
      <c r="I34" s="3">
        <f>NETWORKDAYS($A34,D$4,Feriados!$A$2:$A$1265)</f>
        <v>1223</v>
      </c>
      <c r="J34" s="3">
        <f>NETWORKDAYS($A34,E$4,Feriados!$A$2:$A$1265)</f>
        <v>2226</v>
      </c>
      <c r="K34" s="3">
        <f t="shared" si="2"/>
        <v>89498.866920823217</v>
      </c>
      <c r="L34" s="3">
        <f t="shared" si="2"/>
        <v>79940.820657397169</v>
      </c>
      <c r="M34" s="3">
        <f t="shared" si="2"/>
        <v>55005.510176404554</v>
      </c>
      <c r="N34" s="3">
        <f t="shared" si="2"/>
        <v>32837.267828592958</v>
      </c>
      <c r="O34" s="3">
        <f t="shared" si="3"/>
        <v>-6.9867228437813536</v>
      </c>
      <c r="P34" s="3">
        <f t="shared" si="3"/>
        <v>-13.349154558843971</v>
      </c>
      <c r="Q34" s="3">
        <f t="shared" si="3"/>
        <v>-23.601664355237848</v>
      </c>
      <c r="R34" s="3">
        <f t="shared" si="3"/>
        <v>-25.570588921145355</v>
      </c>
      <c r="S34" s="3">
        <f t="shared" si="7"/>
        <v>-1.9944974746904336</v>
      </c>
      <c r="T34" s="3">
        <f t="shared" si="7"/>
        <v>33.817727967209066</v>
      </c>
      <c r="U34" s="3">
        <f t="shared" si="7"/>
        <v>196.91647089431353</v>
      </c>
      <c r="V34" s="3">
        <f t="shared" si="7"/>
        <v>179.41304907859376</v>
      </c>
      <c r="W34" s="23">
        <f t="shared" si="0"/>
        <v>12.006789443881448</v>
      </c>
      <c r="X34" s="23">
        <f t="shared" si="1"/>
        <v>13.838458642464868</v>
      </c>
      <c r="Y34" s="23">
        <f t="shared" si="5"/>
        <v>-1.8316691985834197</v>
      </c>
      <c r="Z34" s="3" cm="1">
        <f t="array" ref="Z34">SUMPRODUCT(S34:V34,TRANSPOSE($AH$2:$AH$5))</f>
        <v>1.0808662355725787</v>
      </c>
      <c r="AA34" s="23">
        <f t="shared" si="6"/>
        <v>4.0372044200367441E-3</v>
      </c>
    </row>
    <row r="35" spans="1:27" x14ac:dyDescent="0.35">
      <c r="A35" s="2">
        <v>46063</v>
      </c>
      <c r="B35" s="3">
        <v>13.381</v>
      </c>
      <c r="C35" s="3">
        <v>12.686999999999999</v>
      </c>
      <c r="D35" s="3">
        <v>13.146000000000001</v>
      </c>
      <c r="E35" s="3">
        <v>13.455</v>
      </c>
      <c r="F35" s="3">
        <v>5.5130999999999999E-2</v>
      </c>
      <c r="G35" s="3">
        <f>NETWORKDAYS($A35,B$4,Feriados!$A$2:$A$1265)</f>
        <v>222</v>
      </c>
      <c r="H35" s="3">
        <f>NETWORKDAYS($A35,C$4,Feriados!$A$2:$A$1265)</f>
        <v>473</v>
      </c>
      <c r="I35" s="3">
        <f>NETWORKDAYS($A35,D$4,Feriados!$A$2:$A$1265)</f>
        <v>1222</v>
      </c>
      <c r="J35" s="3">
        <f>NETWORKDAYS($A35,E$4,Feriados!$A$2:$A$1265)</f>
        <v>2225</v>
      </c>
      <c r="K35" s="3">
        <f t="shared" si="2"/>
        <v>89526.706452239596</v>
      </c>
      <c r="L35" s="3">
        <f t="shared" si="2"/>
        <v>79915.987216332287</v>
      </c>
      <c r="M35" s="3">
        <f t="shared" si="2"/>
        <v>54940.477019425831</v>
      </c>
      <c r="N35" s="3">
        <f t="shared" si="2"/>
        <v>32805.152891346399</v>
      </c>
      <c r="O35" s="3">
        <f t="shared" si="3"/>
        <v>-6.9560830481231735</v>
      </c>
      <c r="P35" s="3">
        <f t="shared" si="3"/>
        <v>-13.311299395433554</v>
      </c>
      <c r="Q35" s="3">
        <f t="shared" si="3"/>
        <v>-23.546365756723631</v>
      </c>
      <c r="R35" s="3">
        <f t="shared" si="3"/>
        <v>-25.529828686447161</v>
      </c>
      <c r="S35" s="3">
        <f t="shared" si="7"/>
        <v>-21.502088905748678</v>
      </c>
      <c r="T35" s="3">
        <f t="shared" si="7"/>
        <v>-68.905614901523222</v>
      </c>
      <c r="U35" s="3">
        <f t="shared" si="7"/>
        <v>-95.358244794078928</v>
      </c>
      <c r="V35" s="3">
        <f t="shared" si="7"/>
        <v>-50.218451373140852</v>
      </c>
      <c r="W35" s="23">
        <f t="shared" si="0"/>
        <v>12.076724201287202</v>
      </c>
      <c r="X35" s="23">
        <f t="shared" si="1"/>
        <v>13.832609194254575</v>
      </c>
      <c r="Y35" s="23">
        <f t="shared" si="5"/>
        <v>-1.7558849929673723</v>
      </c>
      <c r="Z35" s="3" cm="1">
        <f t="array" ref="Z35">SUMPRODUCT(S35:V35,TRANSPOSE($AH$2:$AH$5))</f>
        <v>27.799829901278343</v>
      </c>
      <c r="AA35" s="23">
        <f t="shared" si="6"/>
        <v>7.5784205616047373E-2</v>
      </c>
    </row>
    <row r="36" spans="1:27" x14ac:dyDescent="0.35">
      <c r="A36" s="2">
        <v>46064</v>
      </c>
      <c r="B36" s="3">
        <v>13.339</v>
      </c>
      <c r="C36" s="3">
        <v>12.646000000000001</v>
      </c>
      <c r="D36" s="3">
        <v>13.156000000000001</v>
      </c>
      <c r="E36" s="3">
        <v>13.497</v>
      </c>
      <c r="F36" s="3">
        <v>5.5130999999999999E-2</v>
      </c>
      <c r="G36" s="3">
        <f>NETWORKDAYS($A36,B$4,Feriados!$A$2:$A$1265)</f>
        <v>221</v>
      </c>
      <c r="H36" s="3">
        <f>NETWORKDAYS($A36,C$4,Feriados!$A$2:$A$1265)</f>
        <v>472</v>
      </c>
      <c r="I36" s="3">
        <f>NETWORKDAYS($A36,D$4,Feriados!$A$2:$A$1265)</f>
        <v>1221</v>
      </c>
      <c r="J36" s="3">
        <f>NETWORKDAYS($A36,E$4,Feriados!$A$2:$A$1265)</f>
        <v>2224</v>
      </c>
      <c r="K36" s="3">
        <f t="shared" si="2"/>
        <v>89600.441571655741</v>
      </c>
      <c r="L36" s="3">
        <f t="shared" si="2"/>
        <v>80008.390320686594</v>
      </c>
      <c r="M36" s="3">
        <f t="shared" si="2"/>
        <v>54943.878187370377</v>
      </c>
      <c r="N36" s="3">
        <f t="shared" si="2"/>
        <v>32714.554281152508</v>
      </c>
      <c r="O36" s="3">
        <f t="shared" si="3"/>
        <v>-6.9330208515260239</v>
      </c>
      <c r="P36" s="3">
        <f t="shared" si="3"/>
        <v>-13.303356092990033</v>
      </c>
      <c r="Q36" s="3">
        <f t="shared" si="3"/>
        <v>-23.52647422086044</v>
      </c>
      <c r="R36" s="3">
        <f t="shared" si="3"/>
        <v>-25.438462998771374</v>
      </c>
      <c r="S36" s="3">
        <f t="shared" si="7"/>
        <v>24.378150881952024</v>
      </c>
      <c r="T36" s="3">
        <f t="shared" si="7"/>
        <v>48.344621442069183</v>
      </c>
      <c r="U36" s="3">
        <f t="shared" si="7"/>
        <v>-26.888066441038973</v>
      </c>
      <c r="V36" s="3">
        <f t="shared" si="7"/>
        <v>-108.68441903441999</v>
      </c>
      <c r="W36" s="23">
        <f t="shared" si="0"/>
        <v>12.039337414771744</v>
      </c>
      <c r="X36" s="23">
        <f t="shared" si="1"/>
        <v>13.913502870381489</v>
      </c>
      <c r="Y36" s="23">
        <f t="shared" si="5"/>
        <v>-1.8741654556097451</v>
      </c>
      <c r="Z36" s="3" cm="1">
        <f t="array" ref="Z36">SUMPRODUCT(S36:V36,TRANSPOSE($AH$2:$AH$5))</f>
        <v>-43.059941852749603</v>
      </c>
      <c r="AA36" s="23">
        <f t="shared" si="6"/>
        <v>-0.1182804626423728</v>
      </c>
    </row>
    <row r="37" spans="1:27" x14ac:dyDescent="0.35">
      <c r="A37" s="2">
        <v>46065</v>
      </c>
      <c r="B37" s="3">
        <v>13.316000000000001</v>
      </c>
      <c r="C37" s="3">
        <v>12.635999999999999</v>
      </c>
      <c r="D37" s="3">
        <v>13.128</v>
      </c>
      <c r="E37" s="3">
        <v>13.451000000000001</v>
      </c>
      <c r="F37" s="3">
        <v>5.5130999999999999E-2</v>
      </c>
      <c r="G37" s="3">
        <f>NETWORKDAYS($A37,B$4,Feriados!$A$2:$A$1265)</f>
        <v>220</v>
      </c>
      <c r="H37" s="3">
        <f>NETWORKDAYS($A37,C$4,Feriados!$A$2:$A$1265)</f>
        <v>471</v>
      </c>
      <c r="I37" s="3">
        <f>NETWORKDAYS($A37,D$4,Feriados!$A$2:$A$1265)</f>
        <v>1220</v>
      </c>
      <c r="J37" s="3">
        <f>NETWORKDAYS($A37,E$4,Feriados!$A$2:$A$1265)</f>
        <v>2223</v>
      </c>
      <c r="K37" s="3">
        <f t="shared" si="2"/>
        <v>89660.857784146821</v>
      </c>
      <c r="L37" s="3">
        <f t="shared" si="2"/>
        <v>80059.489522365766</v>
      </c>
      <c r="M37" s="3">
        <f t="shared" si="2"/>
        <v>55036.732938787987</v>
      </c>
      <c r="N37" s="3">
        <f t="shared" si="2"/>
        <v>32848.250731185413</v>
      </c>
      <c r="O37" s="3">
        <f t="shared" si="3"/>
        <v>-6.9077051814200079</v>
      </c>
      <c r="P37" s="3">
        <f t="shared" si="3"/>
        <v>-13.284828853470076</v>
      </c>
      <c r="Q37" s="3">
        <f t="shared" si="3"/>
        <v>-23.552761061680282</v>
      </c>
      <c r="R37" s="3">
        <f t="shared" si="3"/>
        <v>-25.541290735341988</v>
      </c>
      <c r="S37" s="3">
        <f t="shared" si="7"/>
        <v>11.018593048196635</v>
      </c>
      <c r="T37" s="3">
        <f t="shared" si="7"/>
        <v>6.9897760114690755</v>
      </c>
      <c r="U37" s="3">
        <f t="shared" si="7"/>
        <v>62.563641934124462</v>
      </c>
      <c r="V37" s="3">
        <f t="shared" si="7"/>
        <v>115.66058911216169</v>
      </c>
      <c r="W37" s="23">
        <f t="shared" si="0"/>
        <v>12.043340668452785</v>
      </c>
      <c r="X37" s="23">
        <f t="shared" si="1"/>
        <v>13.845124701160461</v>
      </c>
      <c r="Y37" s="23">
        <f t="shared" si="5"/>
        <v>-1.8017840327076762</v>
      </c>
      <c r="Z37" s="3" cm="1">
        <f t="array" ref="Z37">SUMPRODUCT(S37:V37,TRANSPOSE($AH$2:$AH$5))</f>
        <v>26.220568012095491</v>
      </c>
      <c r="AA37" s="23">
        <f t="shared" si="6"/>
        <v>7.2381422902068948E-2</v>
      </c>
    </row>
    <row r="38" spans="1:27" x14ac:dyDescent="0.35">
      <c r="A38" s="2">
        <v>46066</v>
      </c>
      <c r="B38" s="3">
        <v>13.32</v>
      </c>
      <c r="C38" s="3">
        <v>12.625</v>
      </c>
      <c r="D38" s="3">
        <v>13.098000000000001</v>
      </c>
      <c r="E38" s="3">
        <v>13.403</v>
      </c>
      <c r="F38" s="3">
        <v>5.5130999999999999E-2</v>
      </c>
      <c r="G38" s="3">
        <f>NETWORKDAYS($A38,B$4,Feriados!$A$2:$A$1265)</f>
        <v>219</v>
      </c>
      <c r="H38" s="3">
        <f>NETWORKDAYS($A38,C$4,Feriados!$A$2:$A$1265)</f>
        <v>470</v>
      </c>
      <c r="I38" s="3">
        <f>NETWORKDAYS($A38,D$4,Feriados!$A$2:$A$1265)</f>
        <v>1219</v>
      </c>
      <c r="J38" s="3">
        <f>NETWORKDAYS($A38,E$4,Feriados!$A$2:$A$1265)</f>
        <v>2222</v>
      </c>
      <c r="K38" s="3">
        <f t="shared" si="2"/>
        <v>89702.595278994559</v>
      </c>
      <c r="L38" s="3">
        <f t="shared" si="2"/>
        <v>80111.892735487083</v>
      </c>
      <c r="M38" s="3">
        <f t="shared" si="2"/>
        <v>55134.368718626676</v>
      </c>
      <c r="N38" s="3">
        <f t="shared" si="2"/>
        <v>32987.564604220745</v>
      </c>
      <c r="O38" s="3">
        <f t="shared" si="3"/>
        <v>-6.8792646355102729</v>
      </c>
      <c r="P38" s="3">
        <f t="shared" si="3"/>
        <v>-13.266596052244923</v>
      </c>
      <c r="Q38" s="3">
        <f t="shared" si="3"/>
        <v>-23.581457613528428</v>
      </c>
      <c r="R38" s="3">
        <f t="shared" si="3"/>
        <v>-25.648928323534211</v>
      </c>
      <c r="S38" s="3">
        <f t="shared" si="7"/>
        <v>-7.693432657251833</v>
      </c>
      <c r="T38" s="3">
        <f t="shared" si="7"/>
        <v>8.2656159527396085</v>
      </c>
      <c r="U38" s="3">
        <f t="shared" si="7"/>
        <v>67.293478602201503</v>
      </c>
      <c r="V38" s="3">
        <f t="shared" si="7"/>
        <v>121.2043039247219</v>
      </c>
      <c r="W38" s="23">
        <f t="shared" si="0"/>
        <v>12.022088477256565</v>
      </c>
      <c r="X38" s="23">
        <f t="shared" si="1"/>
        <v>13.774790453539998</v>
      </c>
      <c r="Y38" s="23">
        <f t="shared" si="5"/>
        <v>-1.7527019762834328</v>
      </c>
      <c r="Z38" s="3" cm="1">
        <f t="array" ref="Z38">SUMPRODUCT(S38:V38,TRANSPOSE($AH$2:$AH$5))</f>
        <v>17.909870791096704</v>
      </c>
      <c r="AA38" s="23">
        <f t="shared" si="6"/>
        <v>4.9082056424243348E-2</v>
      </c>
    </row>
    <row r="39" spans="1:27" x14ac:dyDescent="0.35">
      <c r="A39" s="2">
        <v>46069</v>
      </c>
      <c r="B39" s="3">
        <v>13.32</v>
      </c>
      <c r="C39" s="3">
        <v>12.625</v>
      </c>
      <c r="D39" s="3">
        <v>13.098000000000001</v>
      </c>
      <c r="E39" s="3">
        <v>13.403</v>
      </c>
      <c r="F39" s="3">
        <v>5.5130999999999999E-2</v>
      </c>
      <c r="G39" s="3">
        <f>NETWORKDAYS($A39,B$4,Feriados!$A$2:$A$1265)</f>
        <v>218</v>
      </c>
      <c r="H39" s="3">
        <f>NETWORKDAYS($A39,C$4,Feriados!$A$2:$A$1265)</f>
        <v>469</v>
      </c>
      <c r="I39" s="3">
        <f>NETWORKDAYS($A39,D$4,Feriados!$A$2:$A$1265)</f>
        <v>1218</v>
      </c>
      <c r="J39" s="3">
        <f>NETWORKDAYS($A39,E$4,Feriados!$A$2:$A$1265)</f>
        <v>2221</v>
      </c>
      <c r="K39" s="3">
        <f t="shared" si="2"/>
        <v>89747.117851741161</v>
      </c>
      <c r="L39" s="3">
        <f t="shared" si="2"/>
        <v>80149.698421862326</v>
      </c>
      <c r="M39" s="3">
        <f t="shared" si="2"/>
        <v>55161.304609547617</v>
      </c>
      <c r="N39" s="3">
        <f t="shared" si="2"/>
        <v>33004.033391129524</v>
      </c>
      <c r="O39" s="3">
        <f t="shared" si="3"/>
        <v>-6.851251299760607</v>
      </c>
      <c r="P39" s="3">
        <f t="shared" si="3"/>
        <v>-13.244616584695466</v>
      </c>
      <c r="Q39" s="3">
        <f t="shared" si="3"/>
        <v>-23.57362396147413</v>
      </c>
      <c r="R39" s="3">
        <f t="shared" si="3"/>
        <v>-25.650184418044237</v>
      </c>
      <c r="S39" s="3">
        <f t="shared" si="7"/>
        <v>-4.931365056661889</v>
      </c>
      <c r="T39" s="3">
        <f t="shared" si="7"/>
        <v>-6.3608012087643147</v>
      </c>
      <c r="U39" s="3">
        <f t="shared" si="7"/>
        <v>-3.460237897328625</v>
      </c>
      <c r="V39" s="3">
        <f t="shared" si="7"/>
        <v>-1.7175873331798357</v>
      </c>
      <c r="W39" s="23">
        <f t="shared" si="0"/>
        <v>12.024834149546582</v>
      </c>
      <c r="X39" s="23">
        <f t="shared" si="1"/>
        <v>13.774484958261857</v>
      </c>
      <c r="Y39" s="23">
        <f t="shared" si="5"/>
        <v>-1.7496508087152751</v>
      </c>
      <c r="Z39" s="3" cm="1">
        <f t="array" ref="Z39">SUMPRODUCT(S39:V39,TRANSPOSE($AH$2:$AH$5))</f>
        <v>1.1292779466801268</v>
      </c>
      <c r="AA39" s="23">
        <f t="shared" si="6"/>
        <v>3.0511675681577088E-3</v>
      </c>
    </row>
    <row r="40" spans="1:27" x14ac:dyDescent="0.35">
      <c r="A40" s="2">
        <v>46070</v>
      </c>
      <c r="B40" s="3">
        <v>13.32</v>
      </c>
      <c r="C40" s="3">
        <v>12.625</v>
      </c>
      <c r="D40" s="3">
        <v>13.098000000000001</v>
      </c>
      <c r="E40" s="3">
        <v>13.403</v>
      </c>
      <c r="F40" s="3">
        <v>5.5130999999999999E-2</v>
      </c>
      <c r="G40" s="3">
        <f>NETWORKDAYS($A40,B$4,Feriados!$A$2:$A$1265)</f>
        <v>218</v>
      </c>
      <c r="H40" s="3">
        <f>NETWORKDAYS($A40,C$4,Feriados!$A$2:$A$1265)</f>
        <v>469</v>
      </c>
      <c r="I40" s="3">
        <f>NETWORKDAYS($A40,D$4,Feriados!$A$2:$A$1265)</f>
        <v>1218</v>
      </c>
      <c r="J40" s="3">
        <f>NETWORKDAYS($A40,E$4,Feriados!$A$2:$A$1265)</f>
        <v>2221</v>
      </c>
      <c r="K40" s="3">
        <f t="shared" si="2"/>
        <v>89747.117851741161</v>
      </c>
      <c r="L40" s="3">
        <f t="shared" si="2"/>
        <v>80149.698421862326</v>
      </c>
      <c r="M40" s="3">
        <f t="shared" si="2"/>
        <v>55161.304609547617</v>
      </c>
      <c r="N40" s="3">
        <f t="shared" si="2"/>
        <v>33004.033391129524</v>
      </c>
      <c r="O40" s="3">
        <f t="shared" si="3"/>
        <v>-6.851251299760607</v>
      </c>
      <c r="P40" s="3">
        <f t="shared" si="3"/>
        <v>-13.244616584695466</v>
      </c>
      <c r="Q40" s="3">
        <f t="shared" si="3"/>
        <v>-23.57362396147413</v>
      </c>
      <c r="R40" s="3">
        <f t="shared" si="3"/>
        <v>-25.650184418044237</v>
      </c>
      <c r="S40" s="3">
        <f t="shared" ref="S40:V55" si="8">K40-K39*(1+$F39/100)</f>
        <v>-49.478483542843605</v>
      </c>
      <c r="T40" s="3">
        <f t="shared" si="8"/>
        <v>-44.187330236964044</v>
      </c>
      <c r="U40" s="3">
        <f t="shared" si="8"/>
        <v>-30.410978844294732</v>
      </c>
      <c r="V40" s="3">
        <f t="shared" si="8"/>
        <v>-18.195453648862895</v>
      </c>
      <c r="W40" s="23">
        <f t="shared" si="0"/>
        <v>12.024834149546582</v>
      </c>
      <c r="X40" s="23">
        <f t="shared" si="1"/>
        <v>13.774484958261857</v>
      </c>
      <c r="Y40" s="23">
        <f t="shared" si="5"/>
        <v>-1.7496508087152751</v>
      </c>
      <c r="Z40" s="3" cm="1">
        <f t="array" ref="Z40">SUMPRODUCT(S40:V40,TRANSPOSE($AH$2:$AH$5))</f>
        <v>0.1495976542319335</v>
      </c>
      <c r="AA40" s="23">
        <f t="shared" si="6"/>
        <v>0</v>
      </c>
    </row>
    <row r="41" spans="1:27" x14ac:dyDescent="0.35">
      <c r="A41" s="2">
        <v>46071</v>
      </c>
      <c r="B41" s="3">
        <v>13.304</v>
      </c>
      <c r="C41" s="3">
        <v>12.592000000000001</v>
      </c>
      <c r="D41" s="3">
        <v>13.044</v>
      </c>
      <c r="E41" s="3">
        <v>13.339</v>
      </c>
      <c r="F41" s="3">
        <v>5.5130999999999999E-2</v>
      </c>
      <c r="G41" s="3">
        <f>NETWORKDAYS($A41,B$4,Feriados!$A$2:$A$1265)</f>
        <v>218</v>
      </c>
      <c r="H41" s="3">
        <f>NETWORKDAYS($A41,C$4,Feriados!$A$2:$A$1265)</f>
        <v>469</v>
      </c>
      <c r="I41" s="3">
        <f>NETWORKDAYS($A41,D$4,Feriados!$A$2:$A$1265)</f>
        <v>1218</v>
      </c>
      <c r="J41" s="3">
        <f>NETWORKDAYS($A41,E$4,Feriados!$A$2:$A$1265)</f>
        <v>2221</v>
      </c>
      <c r="K41" s="3">
        <f t="shared" si="2"/>
        <v>89758.081297361961</v>
      </c>
      <c r="L41" s="3">
        <f t="shared" si="2"/>
        <v>80193.423983997767</v>
      </c>
      <c r="M41" s="3">
        <f t="shared" si="2"/>
        <v>55288.779646200899</v>
      </c>
      <c r="N41" s="3">
        <f t="shared" si="2"/>
        <v>33168.650087267953</v>
      </c>
      <c r="O41" s="3">
        <f t="shared" si="3"/>
        <v>-6.8530558479368704</v>
      </c>
      <c r="P41" s="3">
        <f t="shared" si="3"/>
        <v>-13.255726198545412</v>
      </c>
      <c r="Q41" s="3">
        <f t="shared" si="3"/>
        <v>-23.639388346423011</v>
      </c>
      <c r="R41" s="3">
        <f t="shared" si="3"/>
        <v>-25.792678098525787</v>
      </c>
      <c r="S41" s="3">
        <f t="shared" si="8"/>
        <v>-38.51503792204312</v>
      </c>
      <c r="T41" s="3">
        <f t="shared" si="8"/>
        <v>-0.46176810152246617</v>
      </c>
      <c r="U41" s="3">
        <f t="shared" si="8"/>
        <v>97.064057808987855</v>
      </c>
      <c r="V41" s="3">
        <f t="shared" si="8"/>
        <v>146.42124248956679</v>
      </c>
      <c r="W41" s="23">
        <f t="shared" si="0"/>
        <v>11.97724106503799</v>
      </c>
      <c r="X41" s="23">
        <f t="shared" si="1"/>
        <v>13.698270535040379</v>
      </c>
      <c r="Y41" s="23">
        <f t="shared" si="5"/>
        <v>-1.7210294700023887</v>
      </c>
      <c r="Z41" s="3" cm="1">
        <f t="array" ref="Z41">SUMPRODUCT(S41:V41,TRANSPOSE($AH$2:$AH$5))</f>
        <v>10.664412772261691</v>
      </c>
      <c r="AA41" s="23">
        <f t="shared" si="6"/>
        <v>2.8621338712886413E-2</v>
      </c>
    </row>
    <row r="42" spans="1:27" x14ac:dyDescent="0.35">
      <c r="A42" s="2">
        <v>46072</v>
      </c>
      <c r="B42" s="3">
        <v>13.304</v>
      </c>
      <c r="C42" s="3">
        <v>12.613</v>
      </c>
      <c r="D42" s="3">
        <v>13.122999999999999</v>
      </c>
      <c r="E42" s="3">
        <v>13.443</v>
      </c>
      <c r="F42" s="3">
        <v>5.5130999999999999E-2</v>
      </c>
      <c r="G42" s="3">
        <f>NETWORKDAYS($A42,B$4,Feriados!$A$2:$A$1265)</f>
        <v>217</v>
      </c>
      <c r="H42" s="3">
        <f>NETWORKDAYS($A42,C$4,Feriados!$A$2:$A$1265)</f>
        <v>468</v>
      </c>
      <c r="I42" s="3">
        <f>NETWORKDAYS($A42,D$4,Feriados!$A$2:$A$1265)</f>
        <v>1217</v>
      </c>
      <c r="J42" s="3">
        <f>NETWORKDAYS($A42,E$4,Feriados!$A$2:$A$1265)</f>
        <v>2220</v>
      </c>
      <c r="K42" s="3">
        <f t="shared" si="2"/>
        <v>89802.581090727981</v>
      </c>
      <c r="L42" s="3">
        <f t="shared" si="2"/>
        <v>80203.39150075645</v>
      </c>
      <c r="M42" s="3">
        <f t="shared" si="2"/>
        <v>55129.377155881804</v>
      </c>
      <c r="N42" s="3">
        <f t="shared" si="2"/>
        <v>32918.081943994606</v>
      </c>
      <c r="O42" s="3">
        <f t="shared" si="3"/>
        <v>-6.8250017990258449</v>
      </c>
      <c r="P42" s="3">
        <f t="shared" si="3"/>
        <v>-13.22663952157051</v>
      </c>
      <c r="Q42" s="3">
        <f t="shared" si="3"/>
        <v>-23.535433897948476</v>
      </c>
      <c r="R42" s="3">
        <f t="shared" si="3"/>
        <v>-25.562848888823133</v>
      </c>
      <c r="S42" s="3">
        <f t="shared" si="8"/>
        <v>-4.9847344340378186</v>
      </c>
      <c r="T42" s="3">
        <f t="shared" si="8"/>
        <v>-34.243919817934511</v>
      </c>
      <c r="U42" s="3">
        <f t="shared" si="8"/>
        <v>-189.8837474258471</v>
      </c>
      <c r="V42" s="3">
        <f t="shared" si="8"/>
        <v>-268.85435175296152</v>
      </c>
      <c r="W42" s="23">
        <f t="shared" si="0"/>
        <v>12.018999088292247</v>
      </c>
      <c r="X42" s="23">
        <f t="shared" si="1"/>
        <v>13.832490935031849</v>
      </c>
      <c r="Y42" s="23">
        <f t="shared" si="5"/>
        <v>-1.813491846739602</v>
      </c>
      <c r="Z42" s="3" cm="1">
        <f t="array" ref="Z42">SUMPRODUCT(S42:V42,TRANSPOSE($AH$2:$AH$5))</f>
        <v>-33.829702032879098</v>
      </c>
      <c r="AA42" s="23">
        <f t="shared" si="6"/>
        <v>-9.2462376737213248E-2</v>
      </c>
    </row>
    <row r="43" spans="1:27" x14ac:dyDescent="0.35">
      <c r="A43" s="2">
        <v>46073</v>
      </c>
      <c r="B43" s="3">
        <v>13.257</v>
      </c>
      <c r="C43" s="3">
        <v>12.545999999999999</v>
      </c>
      <c r="D43" s="3">
        <v>13.045</v>
      </c>
      <c r="E43" s="3">
        <v>13.381</v>
      </c>
      <c r="F43" s="3">
        <v>5.5130999999999999E-2</v>
      </c>
      <c r="G43" s="3">
        <f>NETWORKDAYS($A43,B$4,Feriados!$A$2:$A$1265)</f>
        <v>216</v>
      </c>
      <c r="H43" s="3">
        <f>NETWORKDAYS($A43,C$4,Feriados!$A$2:$A$1265)</f>
        <v>467</v>
      </c>
      <c r="I43" s="3">
        <f>NETWORKDAYS($A43,D$4,Feriados!$A$2:$A$1265)</f>
        <v>1216</v>
      </c>
      <c r="J43" s="3">
        <f>NETWORKDAYS($A43,E$4,Feriados!$A$2:$A$1265)</f>
        <v>2219</v>
      </c>
      <c r="K43" s="3">
        <f t="shared" si="2"/>
        <v>89879.060771494333</v>
      </c>
      <c r="L43" s="3">
        <f t="shared" si="2"/>
        <v>80329.752407960201</v>
      </c>
      <c r="M43" s="3">
        <f t="shared" si="2"/>
        <v>55340.243440694248</v>
      </c>
      <c r="N43" s="3">
        <f t="shared" si="2"/>
        <v>33093.485248867539</v>
      </c>
      <c r="O43" s="3">
        <f t="shared" si="3"/>
        <v>-6.8021574778596579</v>
      </c>
      <c r="P43" s="3">
        <f t="shared" si="3"/>
        <v>-13.227041124672205</v>
      </c>
      <c r="Q43" s="3">
        <f t="shared" si="3"/>
        <v>-23.622330489222303</v>
      </c>
      <c r="R43" s="3">
        <f t="shared" si="3"/>
        <v>-25.701530493280302</v>
      </c>
      <c r="S43" s="3">
        <f t="shared" si="8"/>
        <v>26.970619785221061</v>
      </c>
      <c r="T43" s="3">
        <f t="shared" si="8"/>
        <v>82.143975435465109</v>
      </c>
      <c r="U43" s="3">
        <f t="shared" si="8"/>
        <v>180.47290789263207</v>
      </c>
      <c r="V43" s="3">
        <f t="shared" si="8"/>
        <v>157.2552371163838</v>
      </c>
      <c r="W43" s="23">
        <f t="shared" si="0"/>
        <v>11.937717753234821</v>
      </c>
      <c r="X43" s="23">
        <f t="shared" si="1"/>
        <v>13.78969354554409</v>
      </c>
      <c r="Y43" s="23">
        <f t="shared" si="5"/>
        <v>-1.8519757923092683</v>
      </c>
      <c r="Z43" s="3" cm="1">
        <f t="array" ref="Z43">SUMPRODUCT(S43:V43,TRANSPOSE($AH$2:$AH$5))</f>
        <v>-14.369158898331683</v>
      </c>
      <c r="AA43" s="23">
        <f t="shared" si="6"/>
        <v>-3.8483945569666389E-2</v>
      </c>
    </row>
    <row r="44" spans="1:27" x14ac:dyDescent="0.35">
      <c r="A44" s="2">
        <v>46076</v>
      </c>
      <c r="B44" s="3">
        <v>13.242000000000001</v>
      </c>
      <c r="C44" s="3">
        <v>12.53</v>
      </c>
      <c r="D44" s="3">
        <v>13.045</v>
      </c>
      <c r="E44" s="3">
        <v>13.391999999999999</v>
      </c>
      <c r="F44" s="3">
        <v>5.5130999999999999E-2</v>
      </c>
      <c r="G44" s="3">
        <f>NETWORKDAYS($A44,B$4,Feriados!$A$2:$A$1265)</f>
        <v>215</v>
      </c>
      <c r="H44" s="3">
        <f>NETWORKDAYS($A44,C$4,Feriados!$A$2:$A$1265)</f>
        <v>466</v>
      </c>
      <c r="I44" s="3">
        <f>NETWORKDAYS($A44,D$4,Feriados!$A$2:$A$1265)</f>
        <v>1215</v>
      </c>
      <c r="J44" s="3">
        <f>NETWORKDAYS($A44,E$4,Feriados!$A$2:$A$1265)</f>
        <v>2218</v>
      </c>
      <c r="K44" s="3">
        <f t="shared" si="2"/>
        <v>89933.63475546494</v>
      </c>
      <c r="L44" s="3">
        <f t="shared" si="2"/>
        <v>80388.569257911309</v>
      </c>
      <c r="M44" s="3">
        <f t="shared" si="2"/>
        <v>55367.176926456581</v>
      </c>
      <c r="N44" s="3">
        <f t="shared" si="2"/>
        <v>33081.721833185693</v>
      </c>
      <c r="O44" s="3">
        <f t="shared" si="3"/>
        <v>-6.7756744974959382</v>
      </c>
      <c r="P44" s="3">
        <f t="shared" si="3"/>
        <v>-13.210259724104146</v>
      </c>
      <c r="Q44" s="3">
        <f t="shared" si="3"/>
        <v>-23.614391503609934</v>
      </c>
      <c r="R44" s="3">
        <f t="shared" si="3"/>
        <v>-25.67832499661445</v>
      </c>
      <c r="S44" s="3">
        <f t="shared" si="8"/>
        <v>5.022758976672776</v>
      </c>
      <c r="T44" s="3">
        <f t="shared" si="8"/>
        <v>14.530254151075496</v>
      </c>
      <c r="U44" s="3">
        <f t="shared" si="8"/>
        <v>-3.5761438489644206</v>
      </c>
      <c r="V44" s="3">
        <f t="shared" si="8"/>
        <v>-30.008185034399503</v>
      </c>
      <c r="W44" s="23">
        <f t="shared" si="0"/>
        <v>11.923680179045327</v>
      </c>
      <c r="X44" s="23">
        <f t="shared" si="1"/>
        <v>13.813770913662093</v>
      </c>
      <c r="Y44" s="23">
        <f t="shared" si="5"/>
        <v>-1.8900907346167664</v>
      </c>
      <c r="Z44" s="3" cm="1">
        <f t="array" ref="Z44">SUMPRODUCT(S44:V44,TRANSPOSE($AH$2:$AH$5))</f>
        <v>-14.0090282161093</v>
      </c>
      <c r="AA44" s="23">
        <f t="shared" si="6"/>
        <v>-3.8114942307498012E-2</v>
      </c>
    </row>
    <row r="45" spans="1:27" x14ac:dyDescent="0.35">
      <c r="A45" s="2">
        <v>46077</v>
      </c>
      <c r="B45" s="3">
        <v>13.228999999999999</v>
      </c>
      <c r="C45" s="3">
        <v>12.515000000000001</v>
      </c>
      <c r="D45" s="3">
        <v>13.007</v>
      </c>
      <c r="E45" s="3">
        <v>13.34</v>
      </c>
      <c r="F45" s="3">
        <v>5.5130999999999999E-2</v>
      </c>
      <c r="G45" s="3">
        <f>NETWORKDAYS($A45,B$4,Feriados!$A$2:$A$1265)</f>
        <v>214</v>
      </c>
      <c r="H45" s="3">
        <f>NETWORKDAYS($A45,C$4,Feriados!$A$2:$A$1265)</f>
        <v>465</v>
      </c>
      <c r="I45" s="3">
        <f>NETWORKDAYS($A45,D$4,Feriados!$A$2:$A$1265)</f>
        <v>1214</v>
      </c>
      <c r="J45" s="3">
        <f>NETWORKDAYS($A45,E$4,Feriados!$A$2:$A$1265)</f>
        <v>2217</v>
      </c>
      <c r="K45" s="3">
        <f t="shared" si="2"/>
        <v>89986.798815521324</v>
      </c>
      <c r="L45" s="3">
        <f t="shared" si="2"/>
        <v>80446.022074197055</v>
      </c>
      <c r="M45" s="3">
        <f t="shared" si="2"/>
        <v>55483.915766565122</v>
      </c>
      <c r="N45" s="3">
        <f t="shared" si="2"/>
        <v>33232.059038684471</v>
      </c>
      <c r="O45" s="3">
        <f t="shared" si="3"/>
        <v>-6.7489212921508708</v>
      </c>
      <c r="P45" s="3">
        <f t="shared" si="3"/>
        <v>-13.193091102668367</v>
      </c>
      <c r="Q45" s="3">
        <f t="shared" si="3"/>
        <v>-23.652655363184437</v>
      </c>
      <c r="R45" s="3">
        <f t="shared" si="3"/>
        <v>-25.79521753929162</v>
      </c>
      <c r="S45" s="3">
        <f t="shared" si="8"/>
        <v>3.5827478793362388</v>
      </c>
      <c r="T45" s="3">
        <f t="shared" si="8"/>
        <v>13.133794168155873</v>
      </c>
      <c r="U45" s="3">
        <f t="shared" si="8"/>
        <v>86.214361797210586</v>
      </c>
      <c r="V45" s="3">
        <f t="shared" si="8"/>
        <v>132.0989214349247</v>
      </c>
      <c r="W45" s="23">
        <f t="shared" si="0"/>
        <v>11.909807823714157</v>
      </c>
      <c r="X45" s="23">
        <f t="shared" si="1"/>
        <v>13.744365722336838</v>
      </c>
      <c r="Y45" s="23">
        <f t="shared" si="5"/>
        <v>-1.8345578986226805</v>
      </c>
      <c r="Z45" s="3" cm="1">
        <f t="array" ref="Z45">SUMPRODUCT(S45:V45,TRANSPOSE($AH$2:$AH$5))</f>
        <v>20.385290257341808</v>
      </c>
      <c r="AA45" s="23">
        <f t="shared" si="6"/>
        <v>5.5532835994085872E-2</v>
      </c>
    </row>
    <row r="46" spans="1:27" x14ac:dyDescent="0.35">
      <c r="A46" s="2">
        <v>46078</v>
      </c>
      <c r="B46" s="3">
        <v>13.238</v>
      </c>
      <c r="C46" s="3">
        <v>12.535</v>
      </c>
      <c r="D46" s="3">
        <v>12.989000000000001</v>
      </c>
      <c r="E46" s="3">
        <v>13.298</v>
      </c>
      <c r="F46" s="3">
        <v>5.5130999999999999E-2</v>
      </c>
      <c r="G46" s="3">
        <f>NETWORKDAYS($A46,B$4,Feriados!$A$2:$A$1265)</f>
        <v>213</v>
      </c>
      <c r="H46" s="3">
        <f>NETWORKDAYS($A46,C$4,Feriados!$A$2:$A$1265)</f>
        <v>464</v>
      </c>
      <c r="I46" s="3">
        <f>NETWORKDAYS($A46,D$4,Feriados!$A$2:$A$1265)</f>
        <v>1213</v>
      </c>
      <c r="J46" s="3">
        <f>NETWORKDAYS($A46,E$4,Feriados!$A$2:$A$1265)</f>
        <v>2216</v>
      </c>
      <c r="K46" s="3">
        <f t="shared" si="2"/>
        <v>90025.127251339727</v>
      </c>
      <c r="L46" s="3">
        <f t="shared" si="2"/>
        <v>80457.338240791505</v>
      </c>
      <c r="M46" s="3">
        <f t="shared" si="2"/>
        <v>55553.425185126391</v>
      </c>
      <c r="N46" s="3">
        <f t="shared" si="2"/>
        <v>33357.118305045435</v>
      </c>
      <c r="O46" s="3">
        <f t="shared" si="3"/>
        <v>-6.7197113231856394</v>
      </c>
      <c r="P46" s="3">
        <f t="shared" si="3"/>
        <v>-13.164230720363982</v>
      </c>
      <c r="Q46" s="3">
        <f t="shared" si="3"/>
        <v>-23.666549064812148</v>
      </c>
      <c r="R46" s="3">
        <f t="shared" si="3"/>
        <v>-25.890205463209082</v>
      </c>
      <c r="S46" s="3">
        <f t="shared" si="8"/>
        <v>-11.282186236596317</v>
      </c>
      <c r="T46" s="3">
        <f t="shared" si="8"/>
        <v>-33.034529835276771</v>
      </c>
      <c r="U46" s="3">
        <f t="shared" si="8"/>
        <v>38.920580960002553</v>
      </c>
      <c r="V46" s="3">
        <f t="shared" si="8"/>
        <v>106.73809989234724</v>
      </c>
      <c r="W46" s="23">
        <f t="shared" si="0"/>
        <v>11.941854603196722</v>
      </c>
      <c r="X46" s="23">
        <f t="shared" si="1"/>
        <v>13.67282509005161</v>
      </c>
      <c r="Y46" s="23">
        <f t="shared" si="5"/>
        <v>-1.7309704868548881</v>
      </c>
      <c r="Z46" s="3" cm="1">
        <f t="array" ref="Z46">SUMPRODUCT(S46:V46,TRANSPOSE($AH$2:$AH$5))</f>
        <v>38.256017803448749</v>
      </c>
      <c r="AA46" s="23">
        <f t="shared" si="6"/>
        <v>0.1035874117677924</v>
      </c>
    </row>
    <row r="47" spans="1:27" x14ac:dyDescent="0.35">
      <c r="A47" s="2">
        <v>46079</v>
      </c>
      <c r="B47" s="3">
        <v>13.186999999999999</v>
      </c>
      <c r="C47" s="3">
        <v>12.483000000000001</v>
      </c>
      <c r="D47" s="3">
        <v>12.955</v>
      </c>
      <c r="E47" s="3">
        <v>13.287000000000001</v>
      </c>
      <c r="F47" s="3">
        <v>5.5130999999999999E-2</v>
      </c>
      <c r="G47" s="3">
        <f>NETWORKDAYS($A47,B$4,Feriados!$A$2:$A$1265)</f>
        <v>212</v>
      </c>
      <c r="H47" s="3">
        <f>NETWORKDAYS($A47,C$4,Feriados!$A$2:$A$1265)</f>
        <v>463</v>
      </c>
      <c r="I47" s="3">
        <f>NETWORKDAYS($A47,D$4,Feriados!$A$2:$A$1265)</f>
        <v>1212</v>
      </c>
      <c r="J47" s="3">
        <f>NETWORKDAYS($A47,E$4,Feriados!$A$2:$A$1265)</f>
        <v>2215</v>
      </c>
      <c r="K47" s="3">
        <f t="shared" si="2"/>
        <v>90103.691801734822</v>
      </c>
      <c r="L47" s="3">
        <f t="shared" si="2"/>
        <v>80563.434899676591</v>
      </c>
      <c r="M47" s="3">
        <f t="shared" si="2"/>
        <v>55660.862398127028</v>
      </c>
      <c r="N47" s="3">
        <f t="shared" si="2"/>
        <v>33402.142930862836</v>
      </c>
      <c r="O47" s="3">
        <f t="shared" si="3"/>
        <v>-6.6970163092821746</v>
      </c>
      <c r="P47" s="3">
        <f t="shared" si="3"/>
        <v>-13.159262005782555</v>
      </c>
      <c r="Q47" s="3">
        <f t="shared" si="3"/>
        <v>-23.699901993043287</v>
      </c>
      <c r="R47" s="3">
        <f t="shared" si="3"/>
        <v>-25.915968514250149</v>
      </c>
      <c r="S47" s="3">
        <f t="shared" si="8"/>
        <v>28.932797490153462</v>
      </c>
      <c r="T47" s="3">
        <f t="shared" si="8"/>
        <v>61.739723739548936</v>
      </c>
      <c r="U47" s="3">
        <f t="shared" si="8"/>
        <v>76.810054161818698</v>
      </c>
      <c r="V47" s="3">
        <f t="shared" si="8"/>
        <v>26.634512924640148</v>
      </c>
      <c r="W47" s="23">
        <f t="shared" si="0"/>
        <v>11.891798605763015</v>
      </c>
      <c r="X47" s="23">
        <f t="shared" si="1"/>
        <v>13.689482736907399</v>
      </c>
      <c r="Y47" s="23">
        <f t="shared" si="5"/>
        <v>-1.7976841311443845</v>
      </c>
      <c r="Z47" s="3" cm="1">
        <f t="array" ref="Z47">SUMPRODUCT(S47:V47,TRANSPOSE($AH$2:$AH$5))</f>
        <v>-24.694584269433747</v>
      </c>
      <c r="AA47" s="23">
        <f t="shared" si="6"/>
        <v>-6.6713644289496443E-2</v>
      </c>
    </row>
    <row r="48" spans="1:27" x14ac:dyDescent="0.35">
      <c r="A48" s="2">
        <v>46080</v>
      </c>
      <c r="B48" s="3">
        <v>13.285</v>
      </c>
      <c r="C48" s="3">
        <v>12.617000000000001</v>
      </c>
      <c r="D48" s="3">
        <v>13.032</v>
      </c>
      <c r="E48" s="3">
        <v>13.318</v>
      </c>
      <c r="F48" s="3">
        <v>5.5130999999999999E-2</v>
      </c>
      <c r="G48" s="3">
        <f>NETWORKDAYS($A48,B$4,Feriados!$A$2:$A$1265)</f>
        <v>211</v>
      </c>
      <c r="H48" s="3">
        <f>NETWORKDAYS($A48,C$4,Feriados!$A$2:$A$1265)</f>
        <v>462</v>
      </c>
      <c r="I48" s="3">
        <f>NETWORKDAYS($A48,D$4,Feriados!$A$2:$A$1265)</f>
        <v>1211</v>
      </c>
      <c r="J48" s="3">
        <f>NETWORKDAYS($A48,E$4,Feriados!$A$2:$A$1265)</f>
        <v>2214</v>
      </c>
      <c r="K48" s="3">
        <f t="shared" si="2"/>
        <v>90082.691990475752</v>
      </c>
      <c r="L48" s="3">
        <f t="shared" si="2"/>
        <v>80425.311374522033</v>
      </c>
      <c r="M48" s="3">
        <f t="shared" si="2"/>
        <v>55505.709505027167</v>
      </c>
      <c r="N48" s="3">
        <f t="shared" si="2"/>
        <v>33338.44744062738</v>
      </c>
      <c r="O48" s="3">
        <f t="shared" si="3"/>
        <v>-6.6581083984662879</v>
      </c>
      <c r="P48" s="3">
        <f t="shared" si="3"/>
        <v>-13.09273059898805</v>
      </c>
      <c r="Q48" s="3">
        <f t="shared" si="3"/>
        <v>-23.598252767086851</v>
      </c>
      <c r="R48" s="3">
        <f t="shared" si="3"/>
        <v>-25.847797696981491</v>
      </c>
      <c r="S48" s="3">
        <f t="shared" si="8"/>
        <v>-70.674877586294315</v>
      </c>
      <c r="T48" s="3">
        <f t="shared" si="8"/>
        <v>-182.53895244910382</v>
      </c>
      <c r="U48" s="3">
        <f t="shared" si="8"/>
        <v>-185.83928314857621</v>
      </c>
      <c r="V48" s="3">
        <f t="shared" si="8"/>
        <v>-82.110425654675055</v>
      </c>
      <c r="W48" s="23">
        <f t="shared" si="0"/>
        <v>12.058502525729708</v>
      </c>
      <c r="X48" s="23">
        <f t="shared" si="1"/>
        <v>13.664274556990573</v>
      </c>
      <c r="Y48" s="23">
        <f t="shared" si="5"/>
        <v>-1.6057720312608659</v>
      </c>
      <c r="Z48" s="3" cm="1">
        <f t="array" ref="Z48">SUMPRODUCT(S48:V48,TRANSPOSE($AH$2:$AH$5))</f>
        <v>70.796120835965084</v>
      </c>
      <c r="AA48" s="23">
        <f t="shared" si="6"/>
        <v>0.19191209988351865</v>
      </c>
    </row>
    <row r="49" spans="1:27" x14ac:dyDescent="0.35">
      <c r="A49" s="2">
        <v>46083</v>
      </c>
      <c r="B49" s="3">
        <v>13.304</v>
      </c>
      <c r="C49" s="3">
        <v>12.69</v>
      </c>
      <c r="D49" s="3">
        <v>13.118</v>
      </c>
      <c r="E49" s="3">
        <v>13.39</v>
      </c>
      <c r="F49" s="3">
        <v>5.5130999999999999E-2</v>
      </c>
      <c r="G49" s="3">
        <f>NETWORKDAYS($A49,B$4,Feriados!$A$2:$A$1265)</f>
        <v>210</v>
      </c>
      <c r="H49" s="3">
        <f>NETWORKDAYS($A49,C$4,Feriados!$A$2:$A$1265)</f>
        <v>461</v>
      </c>
      <c r="I49" s="3">
        <f>NETWORKDAYS($A49,D$4,Feriados!$A$2:$A$1265)</f>
        <v>1210</v>
      </c>
      <c r="J49" s="3">
        <f>NETWORKDAYS($A49,E$4,Feriados!$A$2:$A$1265)</f>
        <v>2213</v>
      </c>
      <c r="K49" s="3">
        <f t="shared" si="2"/>
        <v>90114.697989694614</v>
      </c>
      <c r="L49" s="3">
        <f t="shared" si="2"/>
        <v>80367.914674120606</v>
      </c>
      <c r="M49" s="3">
        <f t="shared" si="2"/>
        <v>55330.269179729999</v>
      </c>
      <c r="N49" s="3">
        <f t="shared" si="2"/>
        <v>33169.45679290915</v>
      </c>
      <c r="O49" s="3">
        <f t="shared" si="3"/>
        <v>-6.6277961641317917</v>
      </c>
      <c r="P49" s="3">
        <f t="shared" si="3"/>
        <v>-13.046610755721765</v>
      </c>
      <c r="Q49" s="3">
        <f t="shared" si="3"/>
        <v>-23.486369798511181</v>
      </c>
      <c r="R49" s="3">
        <f t="shared" si="3"/>
        <v>-25.688839012814302</v>
      </c>
      <c r="S49" s="3">
        <f t="shared" si="8"/>
        <v>-17.657489702411112</v>
      </c>
      <c r="T49" s="3">
        <f t="shared" si="8"/>
        <v>-101.73597881532623</v>
      </c>
      <c r="U49" s="3">
        <f t="shared" si="8"/>
        <v>-206.04117800438689</v>
      </c>
      <c r="V49" s="3">
        <f t="shared" si="8"/>
        <v>-187.37046717672638</v>
      </c>
      <c r="W49" s="23">
        <f t="shared" si="0"/>
        <v>12.17885200842721</v>
      </c>
      <c r="X49" s="23">
        <f t="shared" si="1"/>
        <v>13.719006181493842</v>
      </c>
      <c r="Y49" s="23">
        <f t="shared" si="5"/>
        <v>-1.5401541730666324</v>
      </c>
      <c r="Z49" s="3" cm="1">
        <f t="array" ref="Z49">SUMPRODUCT(S49:V49,TRANSPOSE($AH$2:$AH$5))</f>
        <v>23.960103282142818</v>
      </c>
      <c r="AA49" s="23">
        <f t="shared" si="6"/>
        <v>6.5617858194233492E-2</v>
      </c>
    </row>
    <row r="50" spans="1:27" x14ac:dyDescent="0.35">
      <c r="A50" s="2">
        <v>46084</v>
      </c>
      <c r="B50" s="3">
        <v>13.451000000000001</v>
      </c>
      <c r="C50" s="3">
        <v>12.871</v>
      </c>
      <c r="D50" s="3">
        <v>13.315</v>
      </c>
      <c r="E50" s="3">
        <v>13.548999999999999</v>
      </c>
      <c r="F50" s="3">
        <v>5.5130999999999999E-2</v>
      </c>
      <c r="G50" s="3">
        <f>NETWORKDAYS($A50,B$4,Feriados!$A$2:$A$1265)</f>
        <v>209</v>
      </c>
      <c r="H50" s="3">
        <f>NETWORKDAYS($A50,C$4,Feriados!$A$2:$A$1265)</f>
        <v>460</v>
      </c>
      <c r="I50" s="3">
        <f>NETWORKDAYS($A50,D$4,Feriados!$A$2:$A$1265)</f>
        <v>1209</v>
      </c>
      <c r="J50" s="3">
        <f>NETWORKDAYS($A50,E$4,Feriados!$A$2:$A$1265)</f>
        <v>2212</v>
      </c>
      <c r="K50" s="3">
        <f t="shared" si="2"/>
        <v>90062.476838833143</v>
      </c>
      <c r="L50" s="3">
        <f t="shared" si="2"/>
        <v>80170.815943111738</v>
      </c>
      <c r="M50" s="3">
        <f t="shared" si="2"/>
        <v>54897.140168194215</v>
      </c>
      <c r="N50" s="3">
        <f t="shared" si="2"/>
        <v>32780.315867250676</v>
      </c>
      <c r="O50" s="3">
        <f t="shared" si="3"/>
        <v>-6.5838708562511092</v>
      </c>
      <c r="P50" s="3">
        <f t="shared" si="3"/>
        <v>-12.965558284415781</v>
      </c>
      <c r="Q50" s="3">
        <f t="shared" si="3"/>
        <v>-23.242780331883797</v>
      </c>
      <c r="R50" s="3">
        <f t="shared" si="3"/>
        <v>-25.340454620303948</v>
      </c>
      <c r="S50" s="3">
        <f t="shared" si="8"/>
        <v>-101.90228501017555</v>
      </c>
      <c r="T50" s="3">
        <f t="shared" si="8"/>
        <v>-241.40636604785686</v>
      </c>
      <c r="U50" s="3">
        <f t="shared" si="8"/>
        <v>-463.63314223726775</v>
      </c>
      <c r="V50" s="3">
        <f t="shared" si="8"/>
        <v>-407.42757888297638</v>
      </c>
      <c r="W50" s="23">
        <f t="shared" si="0"/>
        <v>12.390314864690088</v>
      </c>
      <c r="X50" s="23">
        <f t="shared" si="1"/>
        <v>13.831702190526807</v>
      </c>
      <c r="Y50" s="23">
        <f t="shared" si="5"/>
        <v>-1.4413873258367182</v>
      </c>
      <c r="Z50" s="3" cm="1">
        <f t="array" ref="Z50">SUMPRODUCT(S50:V50,TRANSPOSE($AH$2:$AH$5))</f>
        <v>36.530113059520204</v>
      </c>
      <c r="AA50" s="23">
        <f t="shared" si="6"/>
        <v>9.8766847229914134E-2</v>
      </c>
    </row>
    <row r="51" spans="1:27" x14ac:dyDescent="0.35">
      <c r="A51" s="2">
        <v>46085</v>
      </c>
      <c r="B51" s="3">
        <v>13.388999999999999</v>
      </c>
      <c r="C51" s="3">
        <v>12.781000000000001</v>
      </c>
      <c r="D51" s="3">
        <v>13.212</v>
      </c>
      <c r="E51" s="3">
        <v>13.445</v>
      </c>
      <c r="F51" s="3">
        <v>5.5130999999999999E-2</v>
      </c>
      <c r="G51" s="3">
        <f>NETWORKDAYS($A51,B$4,Feriados!$A$2:$A$1265)</f>
        <v>208</v>
      </c>
      <c r="H51" s="3">
        <f>NETWORKDAYS($A51,C$4,Feriados!$A$2:$A$1265)</f>
        <v>459</v>
      </c>
      <c r="I51" s="3">
        <f>NETWORKDAYS($A51,D$4,Feriados!$A$2:$A$1265)</f>
        <v>1208</v>
      </c>
      <c r="J51" s="3">
        <f>NETWORKDAYS($A51,E$4,Feriados!$A$2:$A$1265)</f>
        <v>2211</v>
      </c>
      <c r="K51" s="3">
        <f t="shared" si="2"/>
        <v>90148.256472677866</v>
      </c>
      <c r="L51" s="3">
        <f t="shared" si="2"/>
        <v>80325.9673765568</v>
      </c>
      <c r="M51" s="3">
        <f t="shared" si="2"/>
        <v>55164.330712932438</v>
      </c>
      <c r="N51" s="3">
        <f t="shared" si="2"/>
        <v>33061.586621646769</v>
      </c>
      <c r="O51" s="3">
        <f t="shared" si="3"/>
        <v>-6.5621960426149908</v>
      </c>
      <c r="P51" s="3">
        <f t="shared" si="3"/>
        <v>-12.972753567294127</v>
      </c>
      <c r="Q51" s="3">
        <f t="shared" si="3"/>
        <v>-23.357818756250524</v>
      </c>
      <c r="R51" s="3">
        <f t="shared" si="3"/>
        <v>-25.569753058597378</v>
      </c>
      <c r="S51" s="3">
        <f t="shared" si="8"/>
        <v>36.127289738695254</v>
      </c>
      <c r="T51" s="3">
        <f t="shared" si="8"/>
        <v>110.95246090745786</v>
      </c>
      <c r="U51" s="3">
        <f t="shared" si="8"/>
        <v>236.92520239209261</v>
      </c>
      <c r="V51" s="3">
        <f t="shared" si="8"/>
        <v>263.19863845531654</v>
      </c>
      <c r="W51" s="23">
        <f t="shared" si="0"/>
        <v>12.279630335466818</v>
      </c>
      <c r="X51" s="23">
        <f t="shared" si="1"/>
        <v>13.726258788461166</v>
      </c>
      <c r="Y51" s="23">
        <f t="shared" si="5"/>
        <v>-1.4466284529943483</v>
      </c>
      <c r="Z51" s="3" cm="1">
        <f t="array" ref="Z51">SUMPRODUCT(S51:V51,TRANSPOSE($AH$2:$AH$5))</f>
        <v>-2.081769201878231</v>
      </c>
      <c r="AA51" s="23">
        <f t="shared" si="6"/>
        <v>-5.2411271576300322E-3</v>
      </c>
    </row>
    <row r="52" spans="1:27" x14ac:dyDescent="0.35">
      <c r="A52" s="2">
        <v>46086</v>
      </c>
      <c r="B52" s="3">
        <v>13.512</v>
      </c>
      <c r="C52" s="3">
        <v>12.978</v>
      </c>
      <c r="D52" s="3">
        <v>13.47</v>
      </c>
      <c r="E52" s="3">
        <v>13.692</v>
      </c>
      <c r="F52" s="3">
        <v>5.5130999999999999E-2</v>
      </c>
      <c r="G52" s="3">
        <f>NETWORKDAYS($A52,B$4,Feriados!$A$2:$A$1265)</f>
        <v>207</v>
      </c>
      <c r="H52" s="3">
        <f>NETWORKDAYS($A52,C$4,Feriados!$A$2:$A$1265)</f>
        <v>458</v>
      </c>
      <c r="I52" s="3">
        <f>NETWORKDAYS($A52,D$4,Feriados!$A$2:$A$1265)</f>
        <v>1207</v>
      </c>
      <c r="J52" s="3">
        <f>NETWORKDAYS($A52,E$4,Feriados!$A$2:$A$1265)</f>
        <v>2210</v>
      </c>
      <c r="K52" s="3">
        <f t="shared" si="2"/>
        <v>90112.930398338794</v>
      </c>
      <c r="L52" s="3">
        <f t="shared" si="2"/>
        <v>80109.81370215035</v>
      </c>
      <c r="M52" s="3">
        <f t="shared" si="2"/>
        <v>54593.026323754711</v>
      </c>
      <c r="N52" s="3">
        <f t="shared" si="2"/>
        <v>32453.203043819973</v>
      </c>
      <c r="O52" s="3">
        <f t="shared" si="3"/>
        <v>-6.5210141380955058</v>
      </c>
      <c r="P52" s="3">
        <f t="shared" si="3"/>
        <v>-12.887146828833671</v>
      </c>
      <c r="Q52" s="3">
        <f t="shared" si="3"/>
        <v>-23.044264120147808</v>
      </c>
      <c r="R52" s="3">
        <f t="shared" si="3"/>
        <v>-25.033374326446083</v>
      </c>
      <c r="S52" s="3">
        <f t="shared" si="8"/>
        <v>-85.025709615030792</v>
      </c>
      <c r="T52" s="3">
        <f t="shared" si="8"/>
        <v>-260.43818348083005</v>
      </c>
      <c r="U52" s="3">
        <f t="shared" si="8"/>
        <v>-601.71703634307778</v>
      </c>
      <c r="V52" s="3">
        <f t="shared" si="8"/>
        <v>-626.61076114718162</v>
      </c>
      <c r="W52" s="23">
        <f t="shared" si="0"/>
        <v>12.539500244472368</v>
      </c>
      <c r="X52" s="23">
        <f t="shared" si="1"/>
        <v>13.95972844645299</v>
      </c>
      <c r="Y52" s="23">
        <f t="shared" si="5"/>
        <v>-1.4202282019806223</v>
      </c>
      <c r="Z52" s="3" cm="1">
        <f t="array" ref="Z52">SUMPRODUCT(S52:V52,TRANSPOSE($AH$2:$AH$5))</f>
        <v>10.724451374367391</v>
      </c>
      <c r="AA52" s="23">
        <f t="shared" si="6"/>
        <v>2.6400251013726006E-2</v>
      </c>
    </row>
    <row r="53" spans="1:27" x14ac:dyDescent="0.35">
      <c r="A53" s="2">
        <v>46087</v>
      </c>
      <c r="B53" s="3">
        <v>13.657999999999999</v>
      </c>
      <c r="C53" s="3">
        <v>13.17</v>
      </c>
      <c r="D53" s="3">
        <v>13.648999999999999</v>
      </c>
      <c r="E53" s="3">
        <v>13.856</v>
      </c>
      <c r="F53" s="3">
        <v>5.5130999999999999E-2</v>
      </c>
      <c r="G53" s="3">
        <f>NETWORKDAYS($A53,B$4,Feriados!$A$2:$A$1265)</f>
        <v>206</v>
      </c>
      <c r="H53" s="3">
        <f>NETWORKDAYS($A53,C$4,Feriados!$A$2:$A$1265)</f>
        <v>457</v>
      </c>
      <c r="I53" s="3">
        <f>NETWORKDAYS($A53,D$4,Feriados!$A$2:$A$1265)</f>
        <v>1206</v>
      </c>
      <c r="J53" s="3">
        <f>NETWORKDAYS($A53,E$4,Feriados!$A$2:$A$1265)</f>
        <v>2209</v>
      </c>
      <c r="K53" s="3">
        <f t="shared" si="2"/>
        <v>90063.578427700064</v>
      </c>
      <c r="L53" s="3">
        <f t="shared" si="2"/>
        <v>79902.190411184958</v>
      </c>
      <c r="M53" s="3">
        <f t="shared" si="2"/>
        <v>54209.927285353238</v>
      </c>
      <c r="N53" s="3">
        <f t="shared" si="2"/>
        <v>32062.039399321715</v>
      </c>
      <c r="O53" s="3">
        <f t="shared" si="3"/>
        <v>-6.4776259843671271</v>
      </c>
      <c r="P53" s="3">
        <f t="shared" si="3"/>
        <v>-12.80392225557264</v>
      </c>
      <c r="Q53" s="3">
        <f t="shared" si="3"/>
        <v>-22.82758523498206</v>
      </c>
      <c r="R53" s="3">
        <f t="shared" si="3"/>
        <v>-24.68484454085614</v>
      </c>
      <c r="S53" s="3">
        <f t="shared" si="8"/>
        <v>-99.032130296647665</v>
      </c>
      <c r="T53" s="3">
        <f t="shared" si="8"/>
        <v>-251.7886323575367</v>
      </c>
      <c r="U53" s="3">
        <f t="shared" si="8"/>
        <v>-413.19671974402445</v>
      </c>
      <c r="V53" s="3">
        <f t="shared" si="8"/>
        <v>-409.05541986834942</v>
      </c>
      <c r="W53" s="23">
        <f t="shared" si="0"/>
        <v>12.771055915157014</v>
      </c>
      <c r="X53" s="23">
        <f t="shared" si="1"/>
        <v>14.10539458877842</v>
      </c>
      <c r="Y53" s="23">
        <f t="shared" si="5"/>
        <v>-1.3343386736214065</v>
      </c>
      <c r="Z53" s="3" cm="1">
        <f t="array" ref="Z53">SUMPRODUCT(S53:V53,TRANSPOSE($AH$2:$AH$5))</f>
        <v>32.961595505896014</v>
      </c>
      <c r="AA53" s="23">
        <f t="shared" si="6"/>
        <v>8.5889528359215817E-2</v>
      </c>
    </row>
    <row r="54" spans="1:27" x14ac:dyDescent="0.35">
      <c r="A54" s="2">
        <v>46090</v>
      </c>
      <c r="B54" s="3">
        <v>13.741</v>
      </c>
      <c r="C54" s="3">
        <v>13.266</v>
      </c>
      <c r="D54" s="3">
        <v>13.654999999999999</v>
      </c>
      <c r="E54" s="3">
        <v>13.83</v>
      </c>
      <c r="F54" s="3">
        <v>5.5130999999999999E-2</v>
      </c>
      <c r="G54" s="3">
        <f>NETWORKDAYS($A54,B$4,Feriados!$A$2:$A$1265)</f>
        <v>205</v>
      </c>
      <c r="H54" s="3">
        <f>NETWORKDAYS($A54,C$4,Feriados!$A$2:$A$1265)</f>
        <v>456</v>
      </c>
      <c r="I54" s="3">
        <f>NETWORKDAYS($A54,D$4,Feriados!$A$2:$A$1265)</f>
        <v>1205</v>
      </c>
      <c r="J54" s="3">
        <f>NETWORKDAYS($A54,E$4,Feriados!$A$2:$A$1265)</f>
        <v>2208</v>
      </c>
      <c r="K54" s="3">
        <f t="shared" si="2"/>
        <v>90055.850050407607</v>
      </c>
      <c r="L54" s="3">
        <f t="shared" si="2"/>
        <v>79818.865656586247</v>
      </c>
      <c r="M54" s="3">
        <f t="shared" si="2"/>
        <v>54223.767495034088</v>
      </c>
      <c r="N54" s="3">
        <f t="shared" si="2"/>
        <v>32142.809787886541</v>
      </c>
      <c r="O54" s="3">
        <f t="shared" si="3"/>
        <v>-6.4409244939852766</v>
      </c>
      <c r="P54" s="3">
        <f t="shared" si="3"/>
        <v>-12.751764682673981</v>
      </c>
      <c r="Q54" s="3">
        <f t="shared" si="3"/>
        <v>-22.81327570680557</v>
      </c>
      <c r="R54" s="3">
        <f t="shared" si="3"/>
        <v>-24.741477478826503</v>
      </c>
      <c r="S54" s="3">
        <f t="shared" si="8"/>
        <v>-57.381328715433483</v>
      </c>
      <c r="T54" s="3">
        <f t="shared" si="8"/>
        <v>-127.37563119431434</v>
      </c>
      <c r="U54" s="3">
        <f t="shared" si="8"/>
        <v>-16.046265330842289</v>
      </c>
      <c r="V54" s="3">
        <f t="shared" si="8"/>
        <v>63.094265623582032</v>
      </c>
      <c r="W54" s="23">
        <f t="shared" si="0"/>
        <v>12.879523842148766</v>
      </c>
      <c r="X54" s="23">
        <f t="shared" si="1"/>
        <v>14.040600625336076</v>
      </c>
      <c r="Y54" s="23">
        <f t="shared" si="5"/>
        <v>-1.1610767831873101</v>
      </c>
      <c r="Z54" s="3" cm="1">
        <f t="array" ref="Z54">SUMPRODUCT(S54:V54,TRANSPOSE($AH$2:$AH$5))</f>
        <v>62.229480592716655</v>
      </c>
      <c r="AA54" s="23">
        <f t="shared" si="6"/>
        <v>0.17326189043409634</v>
      </c>
    </row>
    <row r="55" spans="1:27" x14ac:dyDescent="0.35">
      <c r="A55" s="2">
        <v>46091</v>
      </c>
      <c r="B55" s="3">
        <v>13.548999999999999</v>
      </c>
      <c r="C55" s="3">
        <v>13.012</v>
      </c>
      <c r="D55" s="3">
        <v>13.422000000000001</v>
      </c>
      <c r="E55" s="3">
        <v>13.644</v>
      </c>
      <c r="F55" s="3">
        <v>5.5130999999999999E-2</v>
      </c>
      <c r="G55" s="3">
        <f>NETWORKDAYS($A55,B$4,Feriados!$A$2:$A$1265)</f>
        <v>204</v>
      </c>
      <c r="H55" s="3">
        <f>NETWORKDAYS($A55,C$4,Feriados!$A$2:$A$1265)</f>
        <v>455</v>
      </c>
      <c r="I55" s="3">
        <f>NETWORKDAYS($A55,D$4,Feriados!$A$2:$A$1265)</f>
        <v>1204</v>
      </c>
      <c r="J55" s="3">
        <f>NETWORKDAYS($A55,E$4,Feriados!$A$2:$A$1265)</f>
        <v>2207</v>
      </c>
      <c r="K55" s="3">
        <f t="shared" si="2"/>
        <v>90225.187562961029</v>
      </c>
      <c r="L55" s="3">
        <f t="shared" si="2"/>
        <v>80182.695920529557</v>
      </c>
      <c r="M55" s="3">
        <f t="shared" si="2"/>
        <v>54785.855860760217</v>
      </c>
      <c r="N55" s="3">
        <f t="shared" si="2"/>
        <v>32623.246633023551</v>
      </c>
      <c r="O55" s="3">
        <f t="shared" si="3"/>
        <v>-6.432415745710526</v>
      </c>
      <c r="P55" s="3">
        <f t="shared" si="3"/>
        <v>-12.81052561486691</v>
      </c>
      <c r="Q55" s="3">
        <f t="shared" si="3"/>
        <v>-23.077942962394999</v>
      </c>
      <c r="R55" s="3">
        <f t="shared" si="3"/>
        <v>-25.140994922281312</v>
      </c>
      <c r="S55" s="3">
        <f t="shared" si="8"/>
        <v>119.68882186213159</v>
      </c>
      <c r="T55" s="3">
        <f t="shared" si="8"/>
        <v>319.82532511817408</v>
      </c>
      <c r="U55" s="3">
        <f t="shared" si="8"/>
        <v>532.19426046843728</v>
      </c>
      <c r="V55" s="3">
        <f t="shared" si="8"/>
        <v>462.71619267284768</v>
      </c>
      <c r="W55" s="23">
        <f t="shared" si="0"/>
        <v>12.577425146580667</v>
      </c>
      <c r="X55" s="23">
        <f t="shared" si="1"/>
        <v>13.911062468937963</v>
      </c>
      <c r="Y55" s="23">
        <f t="shared" si="5"/>
        <v>-1.3336373223572959</v>
      </c>
      <c r="Z55" s="3" cm="1">
        <f t="array" ref="Z55">SUMPRODUCT(S55:V55,TRANSPOSE($AH$2:$AH$5))</f>
        <v>-64.139284639581263</v>
      </c>
      <c r="AA55" s="23">
        <f t="shared" si="6"/>
        <v>-0.17256053916998582</v>
      </c>
    </row>
    <row r="56" spans="1:27" x14ac:dyDescent="0.35">
      <c r="A56" s="2">
        <v>46092</v>
      </c>
      <c r="B56" s="3">
        <v>13.657999999999999</v>
      </c>
      <c r="C56" s="3">
        <v>13.131</v>
      </c>
      <c r="D56" s="3">
        <v>13.474</v>
      </c>
      <c r="E56" s="3">
        <v>13.654</v>
      </c>
      <c r="F56" s="3">
        <v>5.5130999999999999E-2</v>
      </c>
      <c r="G56" s="3">
        <f>NETWORKDAYS($A56,B$4,Feriados!$A$2:$A$1265)</f>
        <v>203</v>
      </c>
      <c r="H56" s="3">
        <f>NETWORKDAYS($A56,C$4,Feriados!$A$2:$A$1265)</f>
        <v>454</v>
      </c>
      <c r="I56" s="3">
        <f>NETWORKDAYS($A56,D$4,Feriados!$A$2:$A$1265)</f>
        <v>1203</v>
      </c>
      <c r="J56" s="3">
        <f>NETWORKDAYS($A56,E$4,Feriados!$A$2:$A$1265)</f>
        <v>2206</v>
      </c>
      <c r="K56" s="3">
        <f t="shared" si="2"/>
        <v>90200.948289875552</v>
      </c>
      <c r="L56" s="3">
        <f t="shared" si="2"/>
        <v>80069.667121012462</v>
      </c>
      <c r="M56" s="3">
        <f t="shared" si="2"/>
        <v>54693.436758783158</v>
      </c>
      <c r="N56" s="3">
        <f t="shared" si="2"/>
        <v>32614.676926850145</v>
      </c>
      <c r="O56" s="3">
        <f t="shared" si="3"/>
        <v>-6.3930277685062782</v>
      </c>
      <c r="P56" s="3">
        <f t="shared" si="3"/>
        <v>-12.75092552240662</v>
      </c>
      <c r="Q56" s="3">
        <f t="shared" si="3"/>
        <v>-23.009328065367654</v>
      </c>
      <c r="R56" s="3">
        <f t="shared" si="3"/>
        <v>-25.120791739056884</v>
      </c>
      <c r="S56" s="3">
        <f t="shared" ref="S56:V63" si="9">K56-K55*(1+$F55/100)</f>
        <v>-73.981321240818943</v>
      </c>
      <c r="T56" s="3">
        <f t="shared" si="9"/>
        <v>-157.23432160505035</v>
      </c>
      <c r="U56" s="3">
        <f t="shared" si="9"/>
        <v>-122.62309217165603</v>
      </c>
      <c r="V56" s="3">
        <f t="shared" si="9"/>
        <v>-26.555228274661204</v>
      </c>
      <c r="W56" s="23">
        <f t="shared" si="0"/>
        <v>12.706568698155341</v>
      </c>
      <c r="X56" s="23">
        <f t="shared" si="1"/>
        <v>13.870268969319731</v>
      </c>
      <c r="Y56" s="23">
        <f t="shared" si="5"/>
        <v>-1.1637002711643909</v>
      </c>
      <c r="Z56" s="3" cm="1">
        <f t="array" ref="Z56">SUMPRODUCT(S56:V56,TRANSPOSE($AH$2:$AH$5))</f>
        <v>61.885602723061893</v>
      </c>
      <c r="AA56" s="23">
        <f t="shared" si="6"/>
        <v>0.16993705119290503</v>
      </c>
    </row>
    <row r="57" spans="1:27" x14ac:dyDescent="0.35">
      <c r="A57" s="2">
        <v>46093</v>
      </c>
      <c r="B57" s="3">
        <v>13.932</v>
      </c>
      <c r="C57" s="3">
        <v>13.412000000000001</v>
      </c>
      <c r="D57" s="3">
        <v>13.739000000000001</v>
      </c>
      <c r="E57" s="3">
        <v>13.856</v>
      </c>
      <c r="F57" s="3">
        <v>5.5130999999999999E-2</v>
      </c>
      <c r="G57" s="3">
        <f>NETWORKDAYS($A57,B$4,Feriados!$A$2:$A$1265)</f>
        <v>202</v>
      </c>
      <c r="H57" s="3">
        <f>NETWORKDAYS($A57,C$4,Feriados!$A$2:$A$1265)</f>
        <v>453</v>
      </c>
      <c r="I57" s="3">
        <f>NETWORKDAYS($A57,D$4,Feriados!$A$2:$A$1265)</f>
        <v>1202</v>
      </c>
      <c r="J57" s="3">
        <f>NETWORKDAYS($A57,E$4,Feriados!$A$2:$A$1265)</f>
        <v>2205</v>
      </c>
      <c r="K57" s="3">
        <f t="shared" si="2"/>
        <v>90072.768015422727</v>
      </c>
      <c r="L57" s="3">
        <f t="shared" si="2"/>
        <v>79752.429878441486</v>
      </c>
      <c r="M57" s="3">
        <f t="shared" si="2"/>
        <v>54115.417060059808</v>
      </c>
      <c r="N57" s="3">
        <f t="shared" si="2"/>
        <v>32128.147273005714</v>
      </c>
      <c r="O57" s="3">
        <f t="shared" si="3"/>
        <v>-6.3372175560844815</v>
      </c>
      <c r="P57" s="3">
        <f t="shared" si="3"/>
        <v>-12.641033315997324</v>
      </c>
      <c r="Q57" s="3">
        <f t="shared" si="3"/>
        <v>-22.694234134970909</v>
      </c>
      <c r="R57" s="3">
        <f t="shared" si="3"/>
        <v>-24.690950730642214</v>
      </c>
      <c r="S57" s="3">
        <f t="shared" si="9"/>
        <v>-177.9089592545206</v>
      </c>
      <c r="T57" s="3">
        <f t="shared" si="9"/>
        <v>-361.38045075147238</v>
      </c>
      <c r="U57" s="3">
        <f t="shared" si="9"/>
        <v>-608.17273734283663</v>
      </c>
      <c r="V57" s="3">
        <f t="shared" si="9"/>
        <v>-504.5104513809747</v>
      </c>
      <c r="W57" s="23">
        <f t="shared" si="0"/>
        <v>12.995238043390422</v>
      </c>
      <c r="X57" s="23">
        <f t="shared" si="1"/>
        <v>13.996371912406346</v>
      </c>
      <c r="Y57" s="23">
        <f t="shared" si="5"/>
        <v>-1.0011338690159235</v>
      </c>
      <c r="Z57" s="3" cm="1">
        <f t="array" ref="Z57">SUMPRODUCT(S57:V57,TRANSPOSE($AH$2:$AH$5))</f>
        <v>60.196886953029264</v>
      </c>
      <c r="AA57" s="23">
        <f t="shared" si="6"/>
        <v>0.1625664021484674</v>
      </c>
    </row>
    <row r="58" spans="1:27" x14ac:dyDescent="0.35">
      <c r="A58" s="2">
        <v>46094</v>
      </c>
      <c r="B58" s="3">
        <v>14.294</v>
      </c>
      <c r="C58" s="3">
        <v>13.856</v>
      </c>
      <c r="D58" s="3">
        <v>14.111000000000001</v>
      </c>
      <c r="E58" s="3">
        <v>14.154999999999999</v>
      </c>
      <c r="F58" s="3">
        <v>5.5130999999999999E-2</v>
      </c>
      <c r="G58" s="3">
        <f>NETWORKDAYS($A58,B$4,Feriados!$A$2:$A$1265)</f>
        <v>201</v>
      </c>
      <c r="H58" s="3">
        <f>NETWORKDAYS($A58,C$4,Feriados!$A$2:$A$1265)</f>
        <v>452</v>
      </c>
      <c r="I58" s="3">
        <f>NETWORKDAYS($A58,D$4,Feriados!$A$2:$A$1265)</f>
        <v>1201</v>
      </c>
      <c r="J58" s="3">
        <f>NETWORKDAYS($A58,E$4,Feriados!$A$2:$A$1265)</f>
        <v>2204</v>
      </c>
      <c r="K58" s="3">
        <f t="shared" si="2"/>
        <v>89891.660994276172</v>
      </c>
      <c r="L58" s="3">
        <f t="shared" si="2"/>
        <v>79235.01703946678</v>
      </c>
      <c r="M58" s="3">
        <f t="shared" si="2"/>
        <v>53307.014586733654</v>
      </c>
      <c r="N58" s="3">
        <f t="shared" si="2"/>
        <v>31415.750825735991</v>
      </c>
      <c r="O58" s="3">
        <f t="shared" si="3"/>
        <v>-6.273234030758295</v>
      </c>
      <c r="P58" s="3">
        <f t="shared" si="3"/>
        <v>-12.482429665346906</v>
      </c>
      <c r="Q58" s="3">
        <f t="shared" si="3"/>
        <v>-22.263801244022325</v>
      </c>
      <c r="R58" s="3">
        <f t="shared" si="3"/>
        <v>-24.069305247015897</v>
      </c>
      <c r="S58" s="3">
        <f t="shared" si="9"/>
        <v>-230.7650388811453</v>
      </c>
      <c r="T58" s="3">
        <f t="shared" si="9"/>
        <v>-561.38115109100181</v>
      </c>
      <c r="U58" s="3">
        <f t="shared" si="9"/>
        <v>-838.23684390554263</v>
      </c>
      <c r="V58" s="3">
        <f t="shared" si="9"/>
        <v>-730.10901614280738</v>
      </c>
      <c r="W58" s="23">
        <f t="shared" si="0"/>
        <v>13.506461573153249</v>
      </c>
      <c r="X58" s="23">
        <f t="shared" si="1"/>
        <v>14.207708263068032</v>
      </c>
      <c r="Y58" s="23">
        <f t="shared" si="5"/>
        <v>-0.70124668991478245</v>
      </c>
      <c r="Z58" s="3" cm="1">
        <f t="array" ref="Z58">SUMPRODUCT(S58:V58,TRANSPOSE($AH$2:$AH$5))</f>
        <v>110.88730995155424</v>
      </c>
      <c r="AA58" s="23">
        <f t="shared" si="6"/>
        <v>0.29988717910114104</v>
      </c>
    </row>
    <row r="59" spans="1:27" x14ac:dyDescent="0.35">
      <c r="A59" s="2">
        <v>46097</v>
      </c>
      <c r="B59" s="3">
        <v>14.074</v>
      </c>
      <c r="C59" s="3">
        <v>13.577</v>
      </c>
      <c r="D59" s="3">
        <v>13.747999999999999</v>
      </c>
      <c r="E59" s="3">
        <v>13.8</v>
      </c>
      <c r="F59" s="3">
        <v>5.5130999999999999E-2</v>
      </c>
      <c r="G59" s="3">
        <f>NETWORKDAYS($A59,B$4,Feriados!$A$2:$A$1265)</f>
        <v>200</v>
      </c>
      <c r="H59" s="3">
        <f>NETWORKDAYS($A59,C$4,Feriados!$A$2:$A$1265)</f>
        <v>451</v>
      </c>
      <c r="I59" s="3">
        <f>NETWORKDAYS($A59,D$4,Feriados!$A$2:$A$1265)</f>
        <v>1200</v>
      </c>
      <c r="J59" s="3">
        <f>NETWORKDAYS($A59,E$4,Feriados!$A$2:$A$1265)</f>
        <v>2203</v>
      </c>
      <c r="K59" s="3">
        <f t="shared" si="2"/>
        <v>90076.966827800527</v>
      </c>
      <c r="L59" s="3">
        <f t="shared" si="2"/>
        <v>79624.688950588548</v>
      </c>
      <c r="M59" s="3">
        <f t="shared" si="2"/>
        <v>54150.328862410388</v>
      </c>
      <c r="N59" s="3">
        <f t="shared" si="2"/>
        <v>32299.870453569361</v>
      </c>
      <c r="O59" s="3">
        <f t="shared" si="3"/>
        <v>-6.2669544517190676</v>
      </c>
      <c r="P59" s="3">
        <f t="shared" si="3"/>
        <v>-12.546811021819698</v>
      </c>
      <c r="Q59" s="3">
        <f t="shared" si="3"/>
        <v>-22.669296063985378</v>
      </c>
      <c r="R59" s="3">
        <f t="shared" si="3"/>
        <v>-24.812611449079878</v>
      </c>
      <c r="S59" s="3">
        <f t="shared" si="9"/>
        <v>135.74766190159426</v>
      </c>
      <c r="T59" s="3">
        <f t="shared" si="9"/>
        <v>345.98885387773043</v>
      </c>
      <c r="U59" s="3">
        <f t="shared" si="9"/>
        <v>813.92558546491637</v>
      </c>
      <c r="V59" s="3">
        <f t="shared" si="9"/>
        <v>866.79981024562949</v>
      </c>
      <c r="W59" s="23">
        <f t="shared" si="0"/>
        <v>13.182534605651842</v>
      </c>
      <c r="X59" s="23">
        <f t="shared" si="1"/>
        <v>13.862244594796946</v>
      </c>
      <c r="Y59" s="23">
        <f t="shared" si="5"/>
        <v>-0.67970998914510439</v>
      </c>
      <c r="Z59" s="3" cm="1">
        <f t="array" ref="Z59">SUMPRODUCT(S59:V59,TRANSPOSE($AH$2:$AH$5))</f>
        <v>4.2577883925927154</v>
      </c>
      <c r="AA59" s="23">
        <f t="shared" si="6"/>
        <v>2.1536700769678063E-2</v>
      </c>
    </row>
    <row r="60" spans="1:27" x14ac:dyDescent="0.35">
      <c r="A60" s="2">
        <v>46098</v>
      </c>
      <c r="B60" s="3">
        <v>14.157999999999999</v>
      </c>
      <c r="C60" s="3">
        <v>13.670999999999999</v>
      </c>
      <c r="D60" s="3">
        <v>13.797000000000001</v>
      </c>
      <c r="E60" s="3">
        <v>13.824999999999999</v>
      </c>
      <c r="F60" s="3">
        <v>5.5130999999999999E-2</v>
      </c>
      <c r="G60" s="3">
        <f>NETWORKDAYS($A60,B$4,Feriados!$A$2:$A$1265)</f>
        <v>199</v>
      </c>
      <c r="H60" s="3">
        <f>NETWORKDAYS($A60,C$4,Feriados!$A$2:$A$1265)</f>
        <v>450</v>
      </c>
      <c r="I60" s="3">
        <f>NETWORKDAYS($A60,D$4,Feriados!$A$2:$A$1265)</f>
        <v>1199</v>
      </c>
      <c r="J60" s="3">
        <f>NETWORKDAYS($A60,E$4,Feriados!$A$2:$A$1265)</f>
        <v>2202</v>
      </c>
      <c r="K60" s="3">
        <f t="shared" si="2"/>
        <v>90071.674833296915</v>
      </c>
      <c r="L60" s="3">
        <f t="shared" si="2"/>
        <v>79547.323245295207</v>
      </c>
      <c r="M60" s="3">
        <f t="shared" si="2"/>
        <v>54067.109908175786</v>
      </c>
      <c r="N60" s="3">
        <f t="shared" si="2"/>
        <v>32254.47518603866</v>
      </c>
      <c r="O60" s="3">
        <f t="shared" si="3"/>
        <v>-6.2306653003572068</v>
      </c>
      <c r="P60" s="3">
        <f t="shared" si="3"/>
        <v>-12.496484724288143</v>
      </c>
      <c r="Q60" s="3">
        <f t="shared" si="3"/>
        <v>-22.605857457641701</v>
      </c>
      <c r="R60" s="3">
        <f t="shared" si="3"/>
        <v>-24.761052144114689</v>
      </c>
      <c r="S60" s="3">
        <f t="shared" si="9"/>
        <v>-54.952327085455181</v>
      </c>
      <c r="T60" s="3">
        <f t="shared" si="9"/>
        <v>-121.26359255869465</v>
      </c>
      <c r="U60" s="3">
        <f t="shared" si="9"/>
        <v>-113.07257203973859</v>
      </c>
      <c r="V60" s="3">
        <f t="shared" si="9"/>
        <v>-63.202509110462415</v>
      </c>
      <c r="W60" s="23">
        <f t="shared" si="0"/>
        <v>13.286369387142027</v>
      </c>
      <c r="X60" s="23">
        <f t="shared" si="1"/>
        <v>13.858480625835767</v>
      </c>
      <c r="Y60" s="23">
        <f t="shared" si="5"/>
        <v>-0.57211123869373992</v>
      </c>
      <c r="Z60" s="3" cm="1">
        <f t="array" ref="Z60">SUMPRODUCT(S60:V60,TRANSPOSE($AH$2:$AH$5))</f>
        <v>38.646899789918045</v>
      </c>
      <c r="AA60" s="23">
        <f t="shared" si="6"/>
        <v>0.10759875045136447</v>
      </c>
    </row>
    <row r="61" spans="1:27" x14ac:dyDescent="0.35">
      <c r="A61" s="2">
        <v>46099</v>
      </c>
      <c r="B61" s="3">
        <v>14.128</v>
      </c>
      <c r="C61" s="3">
        <v>13.694000000000001</v>
      </c>
      <c r="D61" s="3">
        <v>13.859</v>
      </c>
      <c r="E61" s="3">
        <v>13.888999999999999</v>
      </c>
      <c r="F61" s="3">
        <v>5.5130999999999999E-2</v>
      </c>
      <c r="G61" s="3">
        <f>NETWORKDAYS($A61,B$4,Feriados!$A$2:$A$1265)</f>
        <v>198</v>
      </c>
      <c r="H61" s="3">
        <f>NETWORKDAYS($A61,C$4,Feriados!$A$2:$A$1265)</f>
        <v>449</v>
      </c>
      <c r="I61" s="3">
        <f>NETWORKDAYS($A61,D$4,Feriados!$A$2:$A$1265)</f>
        <v>1198</v>
      </c>
      <c r="J61" s="3">
        <f>NETWORKDAYS($A61,E$4,Feriados!$A$2:$A$1265)</f>
        <v>2201</v>
      </c>
      <c r="K61" s="3">
        <f t="shared" si="2"/>
        <v>90137.627592357996</v>
      </c>
      <c r="L61" s="3">
        <f t="shared" si="2"/>
        <v>79559.097564298325</v>
      </c>
      <c r="M61" s="3">
        <f t="shared" si="2"/>
        <v>53954.955092375531</v>
      </c>
      <c r="N61" s="3">
        <f t="shared" si="2"/>
        <v>32113.006278556186</v>
      </c>
      <c r="O61" s="3">
        <f t="shared" si="3"/>
        <v>-6.2055255221952406</v>
      </c>
      <c r="P61" s="3">
        <f t="shared" si="3"/>
        <v>-12.468037572297916</v>
      </c>
      <c r="Q61" s="3">
        <f t="shared" si="3"/>
        <v>-22.527876026790683</v>
      </c>
      <c r="R61" s="3">
        <f t="shared" si="3"/>
        <v>-24.627406920683899</v>
      </c>
      <c r="S61" s="3">
        <f t="shared" si="9"/>
        <v>16.295344008729444</v>
      </c>
      <c r="T61" s="3">
        <f t="shared" si="9"/>
        <v>-32.080915775251924</v>
      </c>
      <c r="U61" s="3">
        <f t="shared" si="9"/>
        <v>-141.96255416373606</v>
      </c>
      <c r="V61" s="3">
        <f t="shared" si="9"/>
        <v>-159.25112219729272</v>
      </c>
      <c r="W61" s="23">
        <f t="shared" si="0"/>
        <v>13.352806197635857</v>
      </c>
      <c r="X61" s="23">
        <f t="shared" si="1"/>
        <v>13.924842861724485</v>
      </c>
      <c r="Y61" s="23">
        <f t="shared" si="5"/>
        <v>-0.5720366640886283</v>
      </c>
      <c r="Z61" s="3" cm="1">
        <f t="array" ref="Z61">SUMPRODUCT(S61:V61,TRANSPOSE($AH$2:$AH$5))</f>
        <v>0.4115183245380365</v>
      </c>
      <c r="AA61" s="23">
        <f t="shared" si="6"/>
        <v>7.4574605111621395E-5</v>
      </c>
    </row>
    <row r="62" spans="1:27" x14ac:dyDescent="0.35">
      <c r="A62" s="2">
        <v>46100</v>
      </c>
      <c r="B62" s="3">
        <v>14.016999999999999</v>
      </c>
      <c r="C62" s="3">
        <v>13.583</v>
      </c>
      <c r="D62" s="3">
        <v>13.766</v>
      </c>
      <c r="E62" s="3">
        <v>13.819000000000001</v>
      </c>
      <c r="F62" s="3">
        <v>5.4266000000000002E-2</v>
      </c>
      <c r="G62" s="3">
        <f>NETWORKDAYS($A62,B$4,Feriados!$A$2:$A$1265)</f>
        <v>197</v>
      </c>
      <c r="H62" s="3">
        <f>NETWORKDAYS($A62,C$4,Feriados!$A$2:$A$1265)</f>
        <v>448</v>
      </c>
      <c r="I62" s="3">
        <f>NETWORKDAYS($A62,D$4,Feriados!$A$2:$A$1265)</f>
        <v>1197</v>
      </c>
      <c r="J62" s="3">
        <f>NETWORKDAYS($A62,E$4,Feriados!$A$2:$A$1265)</f>
        <v>2200</v>
      </c>
      <c r="K62" s="3">
        <f t="shared" si="2"/>
        <v>90253.537609493404</v>
      </c>
      <c r="L62" s="3">
        <f t="shared" si="2"/>
        <v>79737.971235556499</v>
      </c>
      <c r="M62" s="3">
        <f t="shared" si="2"/>
        <v>54192.686279669077</v>
      </c>
      <c r="N62" s="3">
        <f t="shared" si="2"/>
        <v>32302.502820147685</v>
      </c>
      <c r="O62" s="3">
        <f t="shared" si="3"/>
        <v>-6.1881425469239417</v>
      </c>
      <c r="P62" s="3">
        <f t="shared" si="3"/>
        <v>-12.48042341791078</v>
      </c>
      <c r="Q62" s="3">
        <f t="shared" si="3"/>
        <v>-22.626730290985723</v>
      </c>
      <c r="R62" s="3">
        <f t="shared" si="3"/>
        <v>-24.776704856068786</v>
      </c>
      <c r="S62" s="3">
        <f t="shared" si="9"/>
        <v>66.216241667454597</v>
      </c>
      <c r="T62" s="3">
        <f t="shared" si="9"/>
        <v>135.01194517999829</v>
      </c>
      <c r="U62" s="3">
        <f t="shared" si="9"/>
        <v>207.98528100156545</v>
      </c>
      <c r="V62" s="3">
        <f t="shared" si="9"/>
        <v>171.79232010006672</v>
      </c>
      <c r="W62" s="23">
        <f t="shared" si="0"/>
        <v>13.243527949494084</v>
      </c>
      <c r="X62" s="23">
        <f t="shared" si="1"/>
        <v>13.882283563724451</v>
      </c>
      <c r="Y62" s="23">
        <f t="shared" si="5"/>
        <v>-0.63875561423036764</v>
      </c>
      <c r="Z62" s="3" cm="1">
        <f t="array" ref="Z62">SUMPRODUCT(S62:V62,TRANSPOSE($AH$2:$AH$5))</f>
        <v>-24.225269463655671</v>
      </c>
      <c r="AA62" s="23">
        <f t="shared" si="6"/>
        <v>-6.6718950141739342E-2</v>
      </c>
    </row>
    <row r="63" spans="1:27" x14ac:dyDescent="0.35">
      <c r="A63" s="2">
        <v>46101</v>
      </c>
      <c r="B63" s="3">
        <v>14.42</v>
      </c>
      <c r="C63" s="3">
        <v>14.175000000000001</v>
      </c>
      <c r="D63" s="3">
        <v>14.145</v>
      </c>
      <c r="E63" s="3">
        <v>14.07</v>
      </c>
      <c r="F63" s="3">
        <v>5.4266000000000002E-2</v>
      </c>
      <c r="G63" s="3">
        <f>NETWORKDAYS($A63,B$4,Feriados!$A$2:$A$1265)</f>
        <v>196</v>
      </c>
      <c r="H63" s="3">
        <f>NETWORKDAYS($A63,C$4,Feriados!$A$2:$A$1265)</f>
        <v>447</v>
      </c>
      <c r="I63" s="3">
        <f>NETWORKDAYS($A63,D$4,Feriados!$A$2:$A$1265)</f>
        <v>1196</v>
      </c>
      <c r="J63" s="3">
        <f>NETWORKDAYS($A63,E$4,Feriados!$A$2:$A$1265)</f>
        <v>2199</v>
      </c>
      <c r="K63" s="3">
        <f t="shared" si="2"/>
        <v>90053.062845985041</v>
      </c>
      <c r="L63" s="3">
        <f t="shared" si="2"/>
        <v>79046.014179820762</v>
      </c>
      <c r="M63" s="3">
        <f t="shared" si="2"/>
        <v>53371.297927952903</v>
      </c>
      <c r="N63" s="3">
        <f t="shared" si="2"/>
        <v>31703.784788501664</v>
      </c>
      <c r="O63" s="3">
        <f t="shared" si="3"/>
        <v>-6.1214185546611439</v>
      </c>
      <c r="P63" s="3">
        <f t="shared" si="3"/>
        <v>-12.280496848815302</v>
      </c>
      <c r="Q63" s="3">
        <f t="shared" si="3"/>
        <v>-22.191236961144405</v>
      </c>
      <c r="R63" s="3">
        <f t="shared" si="3"/>
        <v>-24.252938097713304</v>
      </c>
      <c r="S63" s="3">
        <f t="shared" si="9"/>
        <v>-249.45174822752597</v>
      </c>
      <c r="T63" s="3">
        <f t="shared" si="9"/>
        <v>-735.22766320643132</v>
      </c>
      <c r="U63" s="3">
        <f t="shared" si="9"/>
        <v>-850.79655485269905</v>
      </c>
      <c r="V63" s="3">
        <f t="shared" si="9"/>
        <v>-616.24730782640472</v>
      </c>
      <c r="W63" s="23">
        <f t="shared" si="0"/>
        <v>13.984050083755761</v>
      </c>
      <c r="X63" s="23">
        <f t="shared" si="1"/>
        <v>13.9806327078698</v>
      </c>
      <c r="Y63" s="23">
        <f t="shared" si="5"/>
        <v>3.4173758859612491E-3</v>
      </c>
      <c r="Z63" s="3" cm="1">
        <f t="array" ref="Z63">SUMPRODUCT(S63:V63,TRANSPOSE($AH$2:$AH$5))</f>
        <v>229.98389037909786</v>
      </c>
      <c r="AA63" s="23">
        <f t="shared" si="6"/>
        <v>0.64217299011632889</v>
      </c>
    </row>
  </sheetData>
  <mergeCells count="5">
    <mergeCell ref="G5:J5"/>
    <mergeCell ref="K5:N5"/>
    <mergeCell ref="O5:R5"/>
    <mergeCell ref="S5:V5"/>
    <mergeCell ref="W5:Y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BBG</vt:lpstr>
      <vt:lpstr>Feriados</vt:lpstr>
      <vt:lpstr>BBG 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Curi Amarante</dc:creator>
  <cp:lastModifiedBy>Gustavo Curi Amarante</cp:lastModifiedBy>
  <dcterms:created xsi:type="dcterms:W3CDTF">2026-03-20T19:01:38Z</dcterms:created>
  <dcterms:modified xsi:type="dcterms:W3CDTF">2026-03-20T21:53:08Z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eyIwIjoiSGlzdG9yeSIsIjEiOjAsIjIiOjEsIjMiOjEsIjQiOjAsIjUiOjEsIjYiOjEsIjciOjEsIjgiOjAsIjkiOjEsIjEwIjoxLCIxMSI6MCwiMTIiOjB9</vt:lpwstr>
  </property>
</Properties>
</file>